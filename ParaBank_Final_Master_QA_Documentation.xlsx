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3176" tabRatio="600" firstSheet="2" activeTab="2" autoFilterDateGrouping="1"/>
  </bookViews>
  <sheets>
    <sheet name="Test Plan" sheetId="1" state="visible" r:id="rId1"/>
    <sheet name="Test Scenarios" sheetId="2" state="visible" r:id="rId2"/>
    <sheet name="Test Cases" sheetId="3" state="visible" r:id="rId3"/>
    <sheet name="Req Traceability Matrix (RTM)" sheetId="4" state="visible" r:id="rId4"/>
    <sheet name="Test Execution Sheet" sheetId="5" state="visible" r:id="rId5"/>
    <sheet name="Defect Tracking Sheet" sheetId="6" state="visible" r:id="rId6"/>
    <sheet name="Assumptions &amp; Risks" sheetId="7" state="visible" r:id="rId7"/>
    <sheet name="Test Summary Report" sheetId="8" state="visible" r:id="rId8"/>
  </sheets>
  <definedNames/>
  <calcPr calcId="191029" fullCalcOnLoad="1"/>
</workbook>
</file>

<file path=xl/styles.xml><?xml version="1.0" encoding="utf-8"?>
<styleSheet xmlns="http://schemas.openxmlformats.org/spreadsheetml/2006/main">
  <numFmts count="0"/>
  <fonts count="6">
    <font>
      <name val="Calibri"/>
      <family val="2"/>
      <color theme="1"/>
      <sz val="11"/>
      <scheme val="minor"/>
    </font>
    <font>
      <name val="Calibri"/>
      <sz val="11"/>
    </font>
    <font>
      <name val="Calibri"/>
      <color rgb="FF0000FF"/>
      <sz val="11"/>
      <u val="single"/>
    </font>
    <font>
      <name val="Segoe UI"/>
      <sz val="11"/>
    </font>
    <font>
      <name val="Segoe UI"/>
      <family val="2"/>
      <color theme="1"/>
      <sz val="11"/>
    </font>
    <font>
      <name val="Segoe UI"/>
      <color rgb="FF0000FF"/>
      <sz val="11"/>
      <u val="single"/>
    </font>
  </fonts>
  <fills count="4">
    <fill>
      <patternFill/>
    </fill>
    <fill>
      <patternFill patternType="gray125"/>
    </fill>
    <fill>
      <patternFill patternType="solid">
        <fgColor rgb="FFBDD7EE"/>
        <bgColor rgb="FFBDD7EE"/>
      </patternFill>
    </fill>
    <fill>
      <patternFill patternType="solid">
        <fgColor rgb="FFDDEBF7"/>
        <bgColor rgb="FFDDEBF7"/>
      </patternFill>
    </fill>
  </fills>
  <borders count="6">
    <border>
      <left/>
      <right/>
      <top/>
      <bottom/>
      <diagonal/>
    </border>
    <border>
      <left style="thin">
        <color rgb="FFD3D3D3"/>
      </left>
      <right style="thin">
        <color rgb="FFD3D3D3"/>
      </right>
      <top style="thin">
        <color rgb="FFD3D3D3"/>
      </top>
      <bottom style="thin">
        <color rgb="FFD3D3D3"/>
      </bottom>
      <diagonal/>
    </border>
    <border>
      <left/>
      <right style="thin">
        <color rgb="FFD3D3D3"/>
      </right>
      <top style="thin">
        <color rgb="FFD3D3D3"/>
      </top>
      <bottom style="thin">
        <color rgb="FFD3D3D3"/>
      </bottom>
      <diagonal/>
    </border>
    <border>
      <left style="thin">
        <color rgb="FFD3D3D3"/>
      </left>
      <right style="thin">
        <color rgb="FFD3D3D3"/>
      </right>
      <top style="thin">
        <color rgb="FFD3D3D3"/>
      </top>
      <bottom style="thin">
        <color rgb="FFD3D3D3"/>
      </bottom>
      <diagonal/>
    </border>
    <border>
      <left/>
      <right/>
      <top style="thin">
        <color rgb="FFD3D3D3"/>
      </top>
      <bottom/>
      <diagonal/>
    </border>
    <border>
      <left/>
      <right style="thin">
        <color rgb="FFD3D3D3"/>
      </right>
      <top style="thin">
        <color rgb="FFD3D3D3"/>
      </top>
      <bottom/>
      <diagonal/>
    </border>
  </borders>
  <cellStyleXfs count="1">
    <xf numFmtId="0" fontId="0" fillId="0" borderId="0"/>
  </cellStyleXfs>
  <cellXfs count="38">
    <xf numFmtId="0" fontId="0" fillId="0" borderId="0" pivotButton="0" quotePrefix="0" xfId="0"/>
    <xf numFmtId="0" fontId="1" fillId="0" borderId="0" pivotButton="0" quotePrefix="0" xfId="0"/>
    <xf numFmtId="0" fontId="1" fillId="0" borderId="1" applyAlignment="1" pivotButton="0" quotePrefix="0" xfId="0">
      <alignment horizontal="left" vertical="top" wrapText="1"/>
    </xf>
    <xf numFmtId="0" fontId="1" fillId="0" borderId="1" applyAlignment="1" pivotButton="0" quotePrefix="0" xfId="0">
      <alignment horizontal="center" vertical="top" wrapText="1"/>
    </xf>
    <xf numFmtId="0" fontId="1" fillId="0" borderId="1" pivotButton="0" quotePrefix="0" xfId="0"/>
    <xf numFmtId="0" fontId="1" fillId="0" borderId="3" applyAlignment="1" pivotButton="0" quotePrefix="0" xfId="0">
      <alignment horizontal="center" vertical="top" wrapText="1"/>
    </xf>
    <xf numFmtId="0" fontId="1" fillId="0" borderId="3" applyAlignment="1" pivotButton="0" quotePrefix="0" xfId="0">
      <alignment horizontal="left" vertical="top" wrapText="1"/>
    </xf>
    <xf numFmtId="0" fontId="2" fillId="0" borderId="3" applyAlignment="1" pivotButton="0" quotePrefix="0" xfId="0">
      <alignment horizontal="left" vertical="top" wrapText="1"/>
    </xf>
    <xf numFmtId="0" fontId="1" fillId="2" borderId="1" applyAlignment="1" pivotButton="0" quotePrefix="0" xfId="0">
      <alignment horizontal="left" vertical="top" wrapText="1"/>
    </xf>
    <xf numFmtId="0" fontId="1" fillId="2" borderId="1" applyAlignment="1" pivotButton="0" quotePrefix="0" xfId="0">
      <alignment horizontal="center" vertical="center" wrapText="1"/>
    </xf>
    <xf numFmtId="0" fontId="1" fillId="2" borderId="0" pivotButton="0" quotePrefix="0" xfId="0"/>
    <xf numFmtId="0" fontId="1" fillId="2" borderId="1" pivotButton="0" quotePrefix="0" xfId="0"/>
    <xf numFmtId="0" fontId="1" fillId="2" borderId="0" applyAlignment="1" pivotButton="0" quotePrefix="0" xfId="0">
      <alignment horizontal="left" vertical="center"/>
    </xf>
    <xf numFmtId="0" fontId="1" fillId="0" borderId="0" pivotButton="0" quotePrefix="0" xfId="0"/>
    <xf numFmtId="0" fontId="1" fillId="2" borderId="0" pivotButton="0" quotePrefix="0" xfId="0"/>
    <xf numFmtId="0" fontId="1" fillId="0" borderId="1" applyAlignment="1" pivotButton="0" quotePrefix="0" xfId="0">
      <alignment horizontal="left" vertical="top" wrapText="1"/>
    </xf>
    <xf numFmtId="0" fontId="1" fillId="0" borderId="2" pivotButton="0" quotePrefix="0" xfId="0"/>
    <xf numFmtId="0" fontId="1" fillId="3" borderId="1" applyAlignment="1" pivotButton="0" quotePrefix="0" xfId="0">
      <alignment horizontal="left" vertical="center"/>
    </xf>
    <xf numFmtId="0" fontId="1" fillId="2" borderId="1" pivotButton="0" quotePrefix="0" xfId="0"/>
    <xf numFmtId="0" fontId="1" fillId="2" borderId="3" pivotButton="0" quotePrefix="0" xfId="0"/>
    <xf numFmtId="0" fontId="0" fillId="0" borderId="2" pivotButton="0" quotePrefix="0" xfId="0"/>
    <xf numFmtId="0" fontId="1" fillId="3" borderId="3" applyAlignment="1" pivotButton="0" quotePrefix="0" xfId="0">
      <alignment horizontal="left" vertical="center"/>
    </xf>
    <xf numFmtId="0" fontId="3" fillId="2" borderId="0" applyAlignment="1" pivotButton="0" quotePrefix="0" xfId="0">
      <alignment horizontal="left" vertical="center"/>
    </xf>
    <xf numFmtId="0" fontId="4" fillId="0" borderId="0" pivotButton="0" quotePrefix="0" xfId="0"/>
    <xf numFmtId="0" fontId="3" fillId="0" borderId="0" pivotButton="0" quotePrefix="0" xfId="0"/>
    <xf numFmtId="0" fontId="3" fillId="2" borderId="1" applyAlignment="1" pivotButton="0" quotePrefix="0" xfId="0">
      <alignment horizontal="left" vertical="top" wrapText="1"/>
    </xf>
    <xf numFmtId="0" fontId="3" fillId="0" borderId="1" applyAlignment="1" pivotButton="0" quotePrefix="0" xfId="0">
      <alignment horizontal="left" vertical="top" wrapText="1"/>
    </xf>
    <xf numFmtId="0" fontId="3" fillId="2" borderId="1" applyAlignment="1" pivotButton="0" quotePrefix="0" xfId="0">
      <alignment horizontal="center" vertical="center" wrapText="1"/>
    </xf>
    <xf numFmtId="0" fontId="3" fillId="0" borderId="3" applyAlignment="1" pivotButton="0" quotePrefix="0" xfId="0">
      <alignment horizontal="center" vertical="top" wrapText="1"/>
    </xf>
    <xf numFmtId="0" fontId="3" fillId="0" borderId="3" applyAlignment="1" pivotButton="0" quotePrefix="0" xfId="0">
      <alignment horizontal="left" vertical="top" wrapText="1"/>
    </xf>
    <xf numFmtId="0" fontId="3" fillId="2" borderId="0" pivotButton="0" quotePrefix="0" xfId="0"/>
    <xf numFmtId="0" fontId="5" fillId="0" borderId="3" applyAlignment="1" pivotButton="0" quotePrefix="0" xfId="0">
      <alignment horizontal="left" vertical="top" wrapText="1"/>
    </xf>
    <xf numFmtId="0" fontId="3" fillId="0" borderId="1" applyAlignment="1" pivotButton="0" quotePrefix="0" xfId="0">
      <alignment horizontal="center" vertical="top" wrapText="1"/>
    </xf>
    <xf numFmtId="0" fontId="3" fillId="2" borderId="3" pivotButton="0" quotePrefix="0" xfId="0"/>
    <xf numFmtId="0" fontId="4" fillId="0" borderId="2" pivotButton="0" quotePrefix="0" xfId="0"/>
    <xf numFmtId="0" fontId="3" fillId="2" borderId="1" pivotButton="0" quotePrefix="0" xfId="0"/>
    <xf numFmtId="0" fontId="3" fillId="0" borderId="1" pivotButton="0" quotePrefix="0" xfId="0"/>
    <xf numFmtId="0" fontId="3" fillId="3" borderId="3" applyAlignment="1" pivotButton="0" quotePrefix="0" xfId="0">
      <alignment horizontal="left" vertical="center"/>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styles" Target="styles.xml" Id="rId9" /><Relationship Type="http://schemas.openxmlformats.org/officeDocument/2006/relationships/theme" Target="theme/theme1.xml" Id="rId10"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5.xml.rels><Relationships xmlns="http://schemas.openxmlformats.org/package/2006/relationships"><Relationship Type="http://schemas.openxmlformats.org/officeDocument/2006/relationships/hyperlink" Target="evidence/screenshot_navigation_flow.png" TargetMode="External" Id="rId1" /><Relationship Type="http://schemas.openxmlformats.org/officeDocument/2006/relationships/hyperlink" Target="evidence/screenshot_savings_specific.png" TargetMode="External" Id="rId2" /><Relationship Type="http://schemas.openxmlformats.org/officeDocument/2006/relationships/hyperlink" Target="evidence/screenshot_checking_default.png" TargetMode="External" Id="rId3" /><Relationship Type="http://schemas.openxmlformats.org/officeDocument/2006/relationships/hyperlink" Target="evidence/screenshot_details_navigation.png" TargetMode="External" Id="rId4" /><Relationship Type="http://schemas.openxmlformats.org/officeDocument/2006/relationships/hyperlink" Target="evidence/screenshot_negative_deposit_allowed.png" TargetMode="External" Id="rId5" /><Relationship Type="http://schemas.openxmlformats.org/officeDocument/2006/relationships/hyperlink" Target="evidence/screenshot_transfer_interactivity.png" TargetMode="External" Id="rId6" /><Relationship Type="http://schemas.openxmlformats.org/officeDocument/2006/relationships/hyperlink" Target="evidence/screenshot_savings_to_checking.png" TargetMode="External" Id="rId7" /><Relationship Type="http://schemas.openxmlformats.org/officeDocument/2006/relationships/hyperlink" Target="evidence/screenshot_empty_transfer_warning.png" TargetMode="External" Id="rId8" /><Relationship Type="http://schemas.openxmlformats.org/officeDocument/2006/relationships/hyperlink" Target="evidence/screenshot_alpha_transfer_warning.png" TargetMode="External" Id="rId9" /><Relationship Type="http://schemas.openxmlformats.org/officeDocument/2006/relationships/hyperlink" Target="evidence/screenshot_overdraft_transfer_allowed.png" TargetMode="External" Id="rId10" /><Relationship Type="http://schemas.openxmlformats.org/officeDocument/2006/relationships/hyperlink" Target="evidence/api_response_customer_accounts.json" TargetMode="External" Id="rId11" /><Relationship Type="http://schemas.openxmlformats.org/officeDocument/2006/relationships/hyperlink" Target="evidence/api_response_account_details.json" TargetMode="External" Id="rId12" /><Relationship Type="http://schemas.openxmlformats.org/officeDocument/2006/relationships/hyperlink" Target="evidence/api_response_create_account.json" TargetMode="External" Id="rId13" /><Relationship Type="http://schemas.openxmlformats.org/officeDocument/2006/relationships/hyperlink" Target="evidence/api_response_post_transfer.json" TargetMode="External" Id="rId14" /><Relationship Type="http://schemas.openxmlformats.org/officeDocument/2006/relationships/hyperlink" Target="evidence/api_response_source_debit.json" TargetMode="External" Id="rId15" /><Relationship Type="http://schemas.openxmlformats.org/officeDocument/2006/relationships/hyperlink" Target="evidence/api_response_dest_credit.json" TargetMode="External" Id="rId16" /><Relationship Type="http://schemas.openxmlformats.org/officeDocument/2006/relationships/hyperlink" Target="evidence/api_response_source_transactions.json" TargetMode="External" Id="rId17" /><Relationship Type="http://schemas.openxmlformats.org/officeDocument/2006/relationships/hyperlink" Target="evidence/api_response_non_existent.json" TargetMode="External" Id="rId18" /><Relationship Type="http://schemas.openxmlformats.org/officeDocument/2006/relationships/hyperlink" Target="evidence/api_response_insufficient_funds.json" TargetMode="External" Id="rId19" /><Relationship Type="http://schemas.openxmlformats.org/officeDocument/2006/relationships/hyperlink" Target="evidence/api_response_source_transactions.json" TargetMode="External" Id="rId20" /><Relationship Type="http://schemas.openxmlformats.org/officeDocument/2006/relationships/hyperlink" Target="evidence/screenshot_e2e_provisioning.png" TargetMode="External" Id="rId21" /><Relationship Type="http://schemas.openxmlformats.org/officeDocument/2006/relationships/hyperlink" Target="evidence/screenshot_e2e_transfer.png" TargetMode="External" Id="rId22" /></Relationships>
</file>

<file path=xl/worksheets/_rels/sheet6.xml.rels><Relationships xmlns="http://schemas.openxmlformats.org/package/2006/relationships"><Relationship Type="http://schemas.openxmlformats.org/officeDocument/2006/relationships/hyperlink" Target="evidence/api_response_non_existent.json" TargetMode="External" Id="rId1" /><Relationship Type="http://schemas.openxmlformats.org/officeDocument/2006/relationships/hyperlink" Target="evidence/screenshot_overdraft_transfer_allowed.png" TargetMode="External" Id="rId2" /><Relationship Type="http://schemas.openxmlformats.org/officeDocument/2006/relationships/hyperlink" Target="evidence/screenshot_empty_transfer_warning.png" TargetMode="External" Id="rId3" /><Relationship Type="http://schemas.openxmlformats.org/officeDocument/2006/relationships/hyperlink" Target="evidence/api_response_insufficient_funds.json" TargetMode="External" Id="rId4" /><Relationship Type="http://schemas.openxmlformats.org/officeDocument/2006/relationships/hyperlink" Target="evidence/screenshot_alpha_transfer_warning.png" TargetMode="External" Id="rId5" /></Relationships>
</file>

<file path=xl/worksheets/sheet1.xml><?xml version="1.0" encoding="utf-8"?>
<worksheet xmlns="http://schemas.openxmlformats.org/spreadsheetml/2006/main">
  <sheetPr>
    <outlinePr summaryBelow="1" summaryRight="1"/>
    <pageSetUpPr/>
  </sheetPr>
  <dimension ref="A1:V60"/>
  <sheetViews>
    <sheetView topLeftCell="A9" zoomScale="93" workbookViewId="0">
      <selection activeCell="B14" sqref="B14"/>
    </sheetView>
  </sheetViews>
  <sheetFormatPr baseColWidth="8" defaultRowHeight="14.4"/>
  <cols>
    <col width="25" customWidth="1" min="1" max="1"/>
    <col width="85" customWidth="1" min="2" max="2"/>
  </cols>
  <sheetData>
    <row r="1">
      <c r="A1" s="22" t="inlineStr">
        <is>
          <t>PARABANK CAPSTONE – CONSOLIDATED TEST PLAN</t>
        </is>
      </c>
      <c r="B1" s="23" t="n"/>
      <c r="C1" s="24" t="n"/>
      <c r="D1" s="24" t="n"/>
      <c r="E1" s="24" t="n"/>
      <c r="F1" s="24" t="n"/>
      <c r="G1" s="24" t="n"/>
      <c r="H1" s="24" t="n"/>
      <c r="I1" s="24" t="n"/>
      <c r="J1" s="24" t="n"/>
      <c r="K1" s="24" t="n"/>
      <c r="L1" s="24" t="n"/>
      <c r="M1" s="24" t="n"/>
      <c r="N1" s="24" t="n"/>
      <c r="O1" s="24" t="n"/>
      <c r="P1" s="24" t="n"/>
      <c r="Q1" s="24" t="n"/>
      <c r="R1" s="24" t="n"/>
      <c r="S1" s="24" t="n"/>
      <c r="T1" s="24" t="n"/>
      <c r="U1" s="24" t="n"/>
      <c r="V1" s="24" t="n"/>
    </row>
    <row r="2">
      <c r="A2" s="24" t="n"/>
      <c r="B2" s="24" t="n"/>
      <c r="C2" s="24" t="n"/>
      <c r="D2" s="24" t="n"/>
      <c r="E2" s="24" t="n"/>
      <c r="F2" s="24" t="n"/>
      <c r="G2" s="24" t="n"/>
      <c r="H2" s="24" t="n"/>
      <c r="I2" s="24" t="n"/>
      <c r="J2" s="24" t="n"/>
      <c r="K2" s="24" t="n"/>
      <c r="L2" s="24" t="n"/>
      <c r="M2" s="24" t="n"/>
      <c r="N2" s="24" t="n"/>
      <c r="O2" s="24" t="n"/>
      <c r="P2" s="24" t="n"/>
      <c r="Q2" s="24" t="n"/>
      <c r="R2" s="24" t="n"/>
      <c r="S2" s="24" t="n"/>
      <c r="T2" s="24" t="n"/>
      <c r="U2" s="24" t="n"/>
      <c r="V2" s="24" t="n"/>
    </row>
    <row r="3" ht="43.2" customHeight="1">
      <c r="A3" s="25" t="inlineStr">
        <is>
          <t>Project Overview</t>
        </is>
      </c>
      <c r="B3" s="26" t="inlineStr">
        <is>
          <t>Comprehensive test plan and verification framework for ParaBank's core transactions (account creation and fund transfer). This master document coordinates manual validation cycles and Robot Framework automation runs, ensuring high coverage and regression safety across UI and API layers.</t>
        </is>
      </c>
      <c r="C3" s="24" t="n"/>
      <c r="D3" s="24" t="n"/>
      <c r="E3" s="24" t="n"/>
      <c r="F3" s="24" t="n"/>
      <c r="G3" s="24" t="n"/>
      <c r="H3" s="24" t="n"/>
      <c r="I3" s="24" t="n"/>
      <c r="J3" s="24" t="n"/>
      <c r="K3" s="24" t="n"/>
      <c r="L3" s="24" t="n"/>
      <c r="M3" s="24" t="n"/>
      <c r="N3" s="24" t="n"/>
      <c r="O3" s="24" t="n"/>
      <c r="P3" s="24" t="n"/>
      <c r="Q3" s="24" t="n"/>
      <c r="R3" s="24" t="n"/>
      <c r="S3" s="24" t="n"/>
      <c r="T3" s="24" t="n"/>
      <c r="U3" s="24" t="n"/>
      <c r="V3" s="24" t="n"/>
    </row>
    <row r="4" ht="100.8" customHeight="1">
      <c r="A4" s="25" t="inlineStr">
        <is>
          <t>Testing Objectives</t>
        </is>
      </c>
      <c r="B4" s="26" t="inlineStr">
        <is>
          <t>• Validate account opening workflows and fund transfer screens via Selenium/Browser library UI automation.
• Verify response structures, status codes, and data types (id, customerId, type, balance) of REST API endpoints.
• Ensure financial integrity (balance deltas and ledger entries) across UI and API transactions.
• Catch boundary violations, validation bypasses, and edge-case errors through robust negative assertions.</t>
        </is>
      </c>
      <c r="C4" s="24" t="n"/>
      <c r="D4" s="24" t="n"/>
      <c r="E4" s="24" t="n"/>
      <c r="F4" s="24" t="n"/>
      <c r="G4" s="24" t="n"/>
      <c r="H4" s="24" t="n"/>
      <c r="I4" s="24" t="n"/>
      <c r="J4" s="24" t="n"/>
      <c r="K4" s="24" t="n"/>
      <c r="L4" s="24" t="n"/>
      <c r="M4" s="24" t="n"/>
      <c r="N4" s="24" t="n"/>
      <c r="O4" s="24" t="n"/>
      <c r="P4" s="24" t="n"/>
      <c r="Q4" s="24" t="n"/>
      <c r="R4" s="24" t="n"/>
      <c r="S4" s="24" t="n"/>
      <c r="T4" s="24" t="n"/>
      <c r="U4" s="24" t="n"/>
      <c r="V4" s="24" t="n"/>
    </row>
    <row r="5" ht="172.8" customHeight="1">
      <c r="A5" s="25" t="inlineStr">
        <is>
          <t>Scope</t>
        </is>
      </c>
      <c r="B5" s="26" t="inlineStr">
        <is>
          <t>In-Scope:
• UI Validation: Account creation options, user authentication forms, and fund transfer fields.
• API Validation: Account retrieval (GET list, GET specific ID), account creation (POST), and transfer requests (POST).
• E2E Integration: Verifying that UI-driven transaction results are accurately queried and updated in the API ledger.
• Negative/Boundary Testing: Overdrafts, empty inputs, non-numeric values, and invalid account IDs.
Out-of-Scope:
• Security vulnerability penetration testing.
• Mobile and responsive browser testing.
• Direct database access or back-end storage query testing.</t>
        </is>
      </c>
      <c r="C5" s="24" t="n"/>
      <c r="D5" s="24" t="n"/>
      <c r="E5" s="24" t="n"/>
      <c r="F5" s="24" t="n"/>
      <c r="G5" s="24" t="n"/>
      <c r="H5" s="24" t="n"/>
      <c r="I5" s="24" t="n"/>
      <c r="J5" s="24" t="n"/>
      <c r="K5" s="24" t="n"/>
      <c r="L5" s="24" t="n"/>
      <c r="M5" s="24" t="n"/>
      <c r="N5" s="24" t="n"/>
      <c r="O5" s="24" t="n"/>
      <c r="P5" s="24" t="n"/>
      <c r="Q5" s="24" t="n"/>
      <c r="R5" s="24" t="n"/>
      <c r="S5" s="24" t="n"/>
      <c r="T5" s="24" t="n"/>
      <c r="U5" s="24" t="n"/>
      <c r="V5" s="24" t="n"/>
    </row>
    <row r="6" ht="72" customHeight="1">
      <c r="A6" s="25" t="inlineStr">
        <is>
          <t>Test Strategy</t>
        </is>
      </c>
      <c r="B6" s="26" t="inlineStr">
        <is>
          <t>The strategy follows a structured automated and manual verification process. The UI POM (Page Object Model) isolates locators for login, account opening, and transfer pages. API fixtures verify responses and run times. Integration E2E scripts execute UI actions and run immediate API delta audits. pabot sharding runs tests in parallel to optimize execution time, and Allure report aggregates results.</t>
        </is>
      </c>
      <c r="C6" s="24" t="n"/>
      <c r="D6" s="24" t="n"/>
      <c r="E6" s="24" t="n"/>
      <c r="F6" s="24" t="n"/>
      <c r="G6" s="24" t="n"/>
      <c r="H6" s="24" t="n"/>
      <c r="I6" s="24" t="n"/>
      <c r="J6" s="24" t="n"/>
      <c r="K6" s="24" t="n"/>
      <c r="L6" s="24" t="n"/>
      <c r="M6" s="24" t="n"/>
      <c r="N6" s="24" t="n"/>
      <c r="O6" s="24" t="n"/>
      <c r="P6" s="24" t="n"/>
      <c r="Q6" s="24" t="n"/>
      <c r="R6" s="24" t="n"/>
      <c r="S6" s="24" t="n"/>
      <c r="T6" s="24" t="n"/>
      <c r="U6" s="24" t="n"/>
      <c r="V6" s="24" t="n"/>
    </row>
    <row r="7" ht="72" customHeight="1">
      <c r="A7" s="25" t="inlineStr">
        <is>
          <t>Test Approach</t>
        </is>
      </c>
      <c r="B7" s="26" t="inlineStr">
        <is>
          <t>• POM (Page Objects): LoginPage.robot, OpenAccountPage.robot, TransferFundsPage.robot, AccountOverviewPage.robot.
• API Library: Robot Framework RequestsLibrary with Basic Auth header verification.
• Parallel Sharding: pabot sharding across 4 parallel processes with clean browser contexts.
• Retries and Flakiness: Smart Waiting keywords instead of hard Sleeps, and pabot failed-test retries.</t>
        </is>
      </c>
      <c r="C7" s="24" t="n"/>
      <c r="D7" s="24" t="n"/>
      <c r="E7" s="24" t="n"/>
      <c r="F7" s="24" t="n"/>
      <c r="G7" s="24" t="n"/>
      <c r="H7" s="24" t="n"/>
      <c r="I7" s="24" t="n"/>
      <c r="J7" s="24" t="n"/>
      <c r="K7" s="24" t="n"/>
      <c r="L7" s="24" t="n"/>
      <c r="M7" s="24" t="n"/>
      <c r="N7" s="24" t="n"/>
      <c r="O7" s="24" t="n"/>
      <c r="P7" s="24" t="n"/>
      <c r="Q7" s="24" t="n"/>
      <c r="R7" s="24" t="n"/>
      <c r="S7" s="24" t="n"/>
      <c r="T7" s="24" t="n"/>
      <c r="U7" s="24" t="n"/>
      <c r="V7" s="24" t="n"/>
    </row>
    <row r="8" ht="57.6" customHeight="1">
      <c r="A8" s="25" t="inlineStr">
        <is>
          <t>Test Environment</t>
        </is>
      </c>
      <c r="B8" s="26" t="inlineStr">
        <is>
          <t>• AUT: ParaBank Application (https://parabank.parasoft.com)
• API Endpoint: https://parabank.parasoft.com/parabank/api-docs/index.html
• Browser: Headless Chromium (SeleniumLibrary / Browser Library)
• Runner: Windows 10/11 &amp; GitHub Actions CI pipeline</t>
        </is>
      </c>
      <c r="C8" s="24" t="n"/>
      <c r="D8" s="24" t="n"/>
      <c r="E8" s="24" t="n"/>
      <c r="F8" s="24" t="n"/>
      <c r="G8" s="24" t="n"/>
      <c r="H8" s="24" t="n"/>
      <c r="I8" s="24" t="n"/>
      <c r="J8" s="24" t="n"/>
      <c r="K8" s="24" t="n"/>
      <c r="L8" s="24" t="n"/>
      <c r="M8" s="24" t="n"/>
      <c r="N8" s="24" t="n"/>
      <c r="O8" s="24" t="n"/>
      <c r="P8" s="24" t="n"/>
      <c r="Q8" s="24" t="n"/>
      <c r="R8" s="24" t="n"/>
      <c r="S8" s="24" t="n"/>
      <c r="T8" s="24" t="n"/>
      <c r="U8" s="24" t="n"/>
      <c r="V8" s="24" t="n"/>
    </row>
    <row r="9" ht="57.6" customHeight="1">
      <c r="A9" s="25" t="inlineStr">
        <is>
          <t>Entry Criteria</t>
        </is>
      </c>
      <c r="B9" s="26" t="inlineStr">
        <is>
          <t>• AUT is online and Swagger API docs are reachable.
• Robot Framework RequestsLibrary, SeleniumLibrary, and Pabot are installed.
• Baseline funding accounts and credentials are configured in environment.yaml.
• Test inventory and traceability matrix are approved.</t>
        </is>
      </c>
      <c r="C9" s="24" t="n"/>
      <c r="D9" s="24" t="n"/>
      <c r="E9" s="24" t="n"/>
      <c r="F9" s="24" t="n"/>
      <c r="G9" s="24" t="n"/>
      <c r="H9" s="24" t="n"/>
      <c r="I9" s="24" t="n"/>
      <c r="J9" s="24" t="n"/>
      <c r="K9" s="24" t="n"/>
      <c r="L9" s="24" t="n"/>
      <c r="M9" s="24" t="n"/>
      <c r="N9" s="24" t="n"/>
      <c r="O9" s="24" t="n"/>
      <c r="P9" s="24" t="n"/>
      <c r="Q9" s="24" t="n"/>
      <c r="R9" s="24" t="n"/>
      <c r="S9" s="24" t="n"/>
      <c r="T9" s="24" t="n"/>
      <c r="U9" s="24" t="n"/>
      <c r="V9" s="24" t="n"/>
    </row>
    <row r="10" ht="57.6" customHeight="1">
      <c r="A10" s="25" t="inlineStr">
        <is>
          <t>Exit Criteria</t>
        </is>
      </c>
      <c r="B10" s="26" t="inlineStr">
        <is>
          <t>• All 22 scheduled test cases are fully executed and logged.
• Overall pass rate is &gt;= 70% (excluding documented application validation bugs).
• All identified defects are logged in the Defect Tracking sheet.
• RTM confirms coverage of functional requirements.</t>
        </is>
      </c>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ht="57.6" customHeight="1">
      <c r="A11" s="25" t="inlineStr">
        <is>
          <t>Risks and Mitigation</t>
        </is>
      </c>
      <c r="B11" s="26" t="inlineStr">
        <is>
          <t>• Risk: Simultaneous test runs modify shared account data, causing balance failures. Mitigation: Assign unique account numbers or run tests in sequence.
• Risk: Demo database refreshes delete dynamic test data. Mitigation: Implement pre-run setup scripts that verify or register temporary users dynamically.</t>
        </is>
      </c>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ht="57.6" customHeight="1">
      <c r="A12" s="25" t="inlineStr">
        <is>
          <t>Deliverables</t>
        </is>
      </c>
      <c r="B12" s="26" t="inlineStr">
        <is>
          <t>• Master QA Workbook: Plan, Scenarios, Cases, RTM, Execution Log, Defect Log, Risks, and Summaries.
• Code Assets: POM robot resource files, test suite .robot files, and CI config yaml.
• Automation Logs: log.html, report.html, and Allure report dashboards.</t>
        </is>
      </c>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ht="72" customHeight="1">
      <c r="A13" s="25" t="inlineStr">
        <is>
          <t>Execution Approach</t>
        </is>
      </c>
      <c r="B13" s="26" t="inlineStr">
        <is>
          <t>1. Execute connectivity smoke tests.
2. Run the 22 automated UI, API, and E2E cases via Pabot.
3. Assert expected responses and capture screenshots/response payloads for failed steps.
4. Log failed assertions as bugs in the Defect Tracking sheet.
5. Conduct re-run validation on updated builds.</t>
        </is>
      </c>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ht="129.6" customHeight="1">
      <c r="A14" s="25" t="inlineStr">
        <is>
          <t>Functional Requirements</t>
        </is>
      </c>
      <c r="B14" s="26" t="inlineStr">
        <is>
          <t>FR-01: Create new account via UI
FR-02: GET accounts list via API
FR-03: Validate new account exists in API
FR-04: Validate account type and details in API
FR-05: Transfer funds via UI
FR-06: Validate updated balances using API
FR-07: Validate transfer applied correctly (before/after values)
FR-08: Validate UI messages (success, confirmation)
FR-09: Validate negative scenarios</t>
        </is>
      </c>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V60"/>
  <sheetViews>
    <sheetView workbookViewId="0">
      <selection activeCell="A1" sqref="A1"/>
    </sheetView>
  </sheetViews>
  <sheetFormatPr baseColWidth="8" defaultRowHeight="14.4"/>
  <cols>
    <col width="14" customWidth="1" min="1" max="1"/>
    <col width="20" customWidth="1" min="2" max="2"/>
    <col width="40" customWidth="1" min="3" max="3"/>
    <col width="70" customWidth="1" min="4" max="4"/>
    <col width="25" customWidth="1" min="5" max="5"/>
    <col width="12" customWidth="1" min="6" max="7"/>
    <col width="10" customWidth="1" min="8" max="8"/>
  </cols>
  <sheetData>
    <row r="1">
      <c r="A1" s="27" t="inlineStr">
        <is>
          <t>Scenario ID</t>
        </is>
      </c>
      <c r="B1" s="27" t="inlineStr">
        <is>
          <t>Module / Feature</t>
        </is>
      </c>
      <c r="C1" s="27" t="inlineStr">
        <is>
          <t>Scenario Name</t>
        </is>
      </c>
      <c r="D1" s="27" t="inlineStr">
        <is>
          <t>Description</t>
        </is>
      </c>
      <c r="E1" s="27" t="inlineStr">
        <is>
          <t>FR Coverage</t>
        </is>
      </c>
      <c r="F1" s="27" t="inlineStr">
        <is>
          <t>Test Type</t>
        </is>
      </c>
      <c r="G1" s="27" t="inlineStr">
        <is>
          <t>Priority</t>
        </is>
      </c>
      <c r="H1" s="27" t="inlineStr">
        <is>
          <t>Status</t>
        </is>
      </c>
      <c r="I1" s="24" t="n"/>
      <c r="J1" s="24" t="n"/>
      <c r="K1" s="24" t="n"/>
      <c r="L1" s="24" t="n"/>
      <c r="M1" s="24" t="n"/>
      <c r="N1" s="24" t="n"/>
      <c r="O1" s="24" t="n"/>
      <c r="P1" s="24" t="n"/>
      <c r="Q1" s="24" t="n"/>
      <c r="R1" s="24" t="n"/>
      <c r="S1" s="24" t="n"/>
      <c r="T1" s="24" t="n"/>
      <c r="U1" s="24" t="n"/>
      <c r="V1" s="24" t="n"/>
    </row>
    <row r="2" ht="28.8" customHeight="1">
      <c r="A2" s="28" t="inlineStr">
        <is>
          <t>TS-01</t>
        </is>
      </c>
      <c r="B2" s="29" t="inlineStr">
        <is>
          <t>Account Opening UI</t>
        </is>
      </c>
      <c r="C2" s="29" t="inlineStr">
        <is>
          <t>Account Provisioning UI Operations</t>
        </is>
      </c>
      <c r="D2" s="29" t="inlineStr">
        <is>
          <t>Validate page navigation, field options, and checking/savings account creation via the UI.</t>
        </is>
      </c>
      <c r="E2" s="28" t="inlineStr">
        <is>
          <t>FR-01, FR-08</t>
        </is>
      </c>
      <c r="F2" s="28" t="inlineStr">
        <is>
          <t>UI</t>
        </is>
      </c>
      <c r="G2" s="28" t="inlineStr">
        <is>
          <t>High</t>
        </is>
      </c>
      <c r="H2" s="28" t="inlineStr">
        <is>
          <t>Active</t>
        </is>
      </c>
      <c r="I2" s="24" t="n"/>
      <c r="J2" s="24" t="n"/>
      <c r="K2" s="24" t="n"/>
      <c r="L2" s="24" t="n"/>
      <c r="M2" s="24" t="n"/>
      <c r="N2" s="24" t="n"/>
      <c r="O2" s="24" t="n"/>
      <c r="P2" s="24" t="n"/>
      <c r="Q2" s="24" t="n"/>
      <c r="R2" s="24" t="n"/>
      <c r="S2" s="24" t="n"/>
      <c r="T2" s="24" t="n"/>
      <c r="U2" s="24" t="n"/>
      <c r="V2" s="24" t="n"/>
    </row>
    <row r="3" ht="28.8" customHeight="1">
      <c r="A3" s="28" t="inlineStr">
        <is>
          <t>TS-02</t>
        </is>
      </c>
      <c r="B3" s="29" t="inlineStr">
        <is>
          <t>Funds Transfer UI</t>
        </is>
      </c>
      <c r="C3" s="29" t="inlineStr">
        <is>
          <t>UI-Based Funds Transfer Execution</t>
        </is>
      </c>
      <c r="D3" s="29" t="inlineStr">
        <is>
          <t>Validate fund transfer between customer accounts via the web interface, including confirmation message elements.</t>
        </is>
      </c>
      <c r="E3" s="28" t="inlineStr">
        <is>
          <t>FR-05, FR-08</t>
        </is>
      </c>
      <c r="F3" s="28" t="inlineStr">
        <is>
          <t>UI</t>
        </is>
      </c>
      <c r="G3" s="28" t="inlineStr">
        <is>
          <t>High</t>
        </is>
      </c>
      <c r="H3" s="28" t="inlineStr">
        <is>
          <t>Active</t>
        </is>
      </c>
      <c r="I3" s="24" t="n"/>
      <c r="J3" s="24" t="n"/>
      <c r="K3" s="24" t="n"/>
      <c r="L3" s="24" t="n"/>
      <c r="M3" s="24" t="n"/>
      <c r="N3" s="24" t="n"/>
      <c r="O3" s="24" t="n"/>
      <c r="P3" s="24" t="n"/>
      <c r="Q3" s="24" t="n"/>
      <c r="R3" s="24" t="n"/>
      <c r="S3" s="24" t="n"/>
      <c r="T3" s="24" t="n"/>
      <c r="U3" s="24" t="n"/>
      <c r="V3" s="24" t="n"/>
    </row>
    <row r="4" ht="28.8" customHeight="1">
      <c r="A4" s="28" t="inlineStr">
        <is>
          <t>TS-03</t>
        </is>
      </c>
      <c r="B4" s="29" t="inlineStr">
        <is>
          <t>UI Error Handling</t>
        </is>
      </c>
      <c r="C4" s="29" t="inlineStr">
        <is>
          <t>UI Error Handling and Form Boundary Validation</t>
        </is>
      </c>
      <c r="D4" s="29" t="inlineStr">
        <is>
          <t>Confirm that incorrect, alphabetic, or empty form submissions are validated in the UI.</t>
        </is>
      </c>
      <c r="E4" s="28" t="inlineStr">
        <is>
          <t>FR-09</t>
        </is>
      </c>
      <c r="F4" s="28" t="inlineStr">
        <is>
          <t>UI</t>
        </is>
      </c>
      <c r="G4" s="28" t="inlineStr">
        <is>
          <t>Medium</t>
        </is>
      </c>
      <c r="H4" s="28" t="inlineStr">
        <is>
          <t>Active</t>
        </is>
      </c>
      <c r="I4" s="24" t="n"/>
      <c r="J4" s="24" t="n"/>
      <c r="K4" s="24" t="n"/>
      <c r="L4" s="24" t="n"/>
      <c r="M4" s="24" t="n"/>
      <c r="N4" s="24" t="n"/>
      <c r="O4" s="24" t="n"/>
      <c r="P4" s="24" t="n"/>
      <c r="Q4" s="24" t="n"/>
      <c r="R4" s="24" t="n"/>
      <c r="S4" s="24" t="n"/>
      <c r="T4" s="24" t="n"/>
      <c r="U4" s="24" t="n"/>
      <c r="V4" s="24" t="n"/>
    </row>
    <row r="5" ht="28.8" customHeight="1">
      <c r="A5" s="28" t="inlineStr">
        <is>
          <t>TS-04</t>
        </is>
      </c>
      <c r="B5" s="29" t="inlineStr">
        <is>
          <t>Account API Queries</t>
        </is>
      </c>
      <c r="C5" s="29" t="inlineStr">
        <is>
          <t>Customer Account API Ledger Queries</t>
        </is>
      </c>
      <c r="D5" s="29" t="inlineStr">
        <is>
          <t>Validate GET endpoints for retrieving customer account list and specific account details.</t>
        </is>
      </c>
      <c r="E5" s="28" t="inlineStr">
        <is>
          <t>FR-02, FR-03, FR-04</t>
        </is>
      </c>
      <c r="F5" s="28" t="inlineStr">
        <is>
          <t>API</t>
        </is>
      </c>
      <c r="G5" s="28" t="inlineStr">
        <is>
          <t>High</t>
        </is>
      </c>
      <c r="H5" s="28" t="inlineStr">
        <is>
          <t>Active</t>
        </is>
      </c>
      <c r="I5" s="24" t="n"/>
      <c r="J5" s="24" t="n"/>
      <c r="K5" s="24" t="n"/>
      <c r="L5" s="24" t="n"/>
      <c r="M5" s="24" t="n"/>
      <c r="N5" s="24" t="n"/>
      <c r="O5" s="24" t="n"/>
      <c r="P5" s="24" t="n"/>
      <c r="Q5" s="24" t="n"/>
      <c r="R5" s="24" t="n"/>
      <c r="S5" s="24" t="n"/>
      <c r="T5" s="24" t="n"/>
      <c r="U5" s="24" t="n"/>
      <c r="V5" s="24" t="n"/>
    </row>
    <row r="6" ht="28.8" customHeight="1">
      <c r="A6" s="28" t="inlineStr">
        <is>
          <t>TS-05</t>
        </is>
      </c>
      <c r="B6" s="29" t="inlineStr">
        <is>
          <t>Funds Transfer API</t>
        </is>
      </c>
      <c r="C6" s="29" t="inlineStr">
        <is>
          <t>REST API-Based Fund Transfers and Transaction Tracking</t>
        </is>
      </c>
      <c r="D6" s="29" t="inlineStr">
        <is>
          <t>Validate executing transfers, checking balances, and searching transaction ledger entries via the API.</t>
        </is>
      </c>
      <c r="E6" s="28" t="inlineStr">
        <is>
          <t>FR-06, FR-07</t>
        </is>
      </c>
      <c r="F6" s="28" t="inlineStr">
        <is>
          <t>API</t>
        </is>
      </c>
      <c r="G6" s="28" t="inlineStr">
        <is>
          <t>High</t>
        </is>
      </c>
      <c r="H6" s="28" t="inlineStr">
        <is>
          <t>Active</t>
        </is>
      </c>
      <c r="I6" s="24" t="n"/>
      <c r="J6" s="24" t="n"/>
      <c r="K6" s="24" t="n"/>
      <c r="L6" s="24" t="n"/>
      <c r="M6" s="24" t="n"/>
      <c r="N6" s="24" t="n"/>
      <c r="O6" s="24" t="n"/>
      <c r="P6" s="24" t="n"/>
      <c r="Q6" s="24" t="n"/>
      <c r="R6" s="24" t="n"/>
      <c r="S6" s="24" t="n"/>
      <c r="T6" s="24" t="n"/>
      <c r="U6" s="24" t="n"/>
      <c r="V6" s="24" t="n"/>
    </row>
    <row r="7">
      <c r="A7" s="28" t="inlineStr">
        <is>
          <t>TS-06</t>
        </is>
      </c>
      <c r="B7" s="29" t="inlineStr">
        <is>
          <t>API Error Handling</t>
        </is>
      </c>
      <c r="C7" s="29" t="inlineStr">
        <is>
          <t>API Boundary and Security Validation</t>
        </is>
      </c>
      <c r="D7" s="29" t="inlineStr">
        <is>
          <t>Confirm error handling, status codes, and security rules on endpoints.</t>
        </is>
      </c>
      <c r="E7" s="28" t="inlineStr">
        <is>
          <t>FR-09</t>
        </is>
      </c>
      <c r="F7" s="28" t="inlineStr">
        <is>
          <t>API</t>
        </is>
      </c>
      <c r="G7" s="28" t="inlineStr">
        <is>
          <t>High</t>
        </is>
      </c>
      <c r="H7" s="28" t="inlineStr">
        <is>
          <t>Active</t>
        </is>
      </c>
      <c r="I7" s="24" t="n"/>
      <c r="J7" s="24" t="n"/>
      <c r="K7" s="24" t="n"/>
      <c r="L7" s="24" t="n"/>
      <c r="M7" s="24" t="n"/>
      <c r="N7" s="24" t="n"/>
      <c r="O7" s="24" t="n"/>
      <c r="P7" s="24" t="n"/>
      <c r="Q7" s="24" t="n"/>
      <c r="R7" s="24" t="n"/>
      <c r="S7" s="24" t="n"/>
      <c r="T7" s="24" t="n"/>
      <c r="U7" s="24" t="n"/>
      <c r="V7" s="24" t="n"/>
    </row>
    <row r="8" ht="28.8" customHeight="1">
      <c r="A8" s="28" t="inlineStr">
        <is>
          <t>TS-07</t>
        </is>
      </c>
      <c r="B8" s="29" t="inlineStr">
        <is>
          <t>E2E Hybrid Flow</t>
        </is>
      </c>
      <c r="C8" s="29" t="inlineStr">
        <is>
          <t>E2E Account Provisioning Hybrid Flow</t>
        </is>
      </c>
      <c r="D8" s="29" t="inlineStr">
        <is>
          <t>Verify E2E account creation via UI and validate details and existence in the API.</t>
        </is>
      </c>
      <c r="E8" s="28" t="inlineStr">
        <is>
          <t>FR-01, FR-02, FR-03, FR-04, FR-08</t>
        </is>
      </c>
      <c r="F8" s="28" t="inlineStr">
        <is>
          <t>E2E</t>
        </is>
      </c>
      <c r="G8" s="28" t="inlineStr">
        <is>
          <t>Critical</t>
        </is>
      </c>
      <c r="H8" s="28" t="inlineStr">
        <is>
          <t>Active</t>
        </is>
      </c>
      <c r="I8" s="24" t="n"/>
      <c r="J8" s="24" t="n"/>
      <c r="K8" s="24" t="n"/>
      <c r="L8" s="24" t="n"/>
      <c r="M8" s="24" t="n"/>
      <c r="N8" s="24" t="n"/>
      <c r="O8" s="24" t="n"/>
      <c r="P8" s="24" t="n"/>
      <c r="Q8" s="24" t="n"/>
      <c r="R8" s="24" t="n"/>
      <c r="S8" s="24" t="n"/>
      <c r="T8" s="24" t="n"/>
      <c r="U8" s="24" t="n"/>
      <c r="V8" s="24" t="n"/>
    </row>
    <row r="9" ht="28.8" customHeight="1">
      <c r="A9" s="28" t="inlineStr">
        <is>
          <t>TS-08</t>
        </is>
      </c>
      <c r="B9" s="29" t="inlineStr">
        <is>
          <t>E2E Hybrid Flow</t>
        </is>
      </c>
      <c r="C9" s="29" t="inlineStr">
        <is>
          <t>E2E Funds Transfer Hybrid Flow</t>
        </is>
      </c>
      <c r="D9" s="29" t="inlineStr">
        <is>
          <t>Verify E2E fund transfer in UI and audit balance changes and transactions in the API.</t>
        </is>
      </c>
      <c r="E9" s="28" t="inlineStr">
        <is>
          <t>FR-05, FR-06, FR-07, FR-08</t>
        </is>
      </c>
      <c r="F9" s="28" t="inlineStr">
        <is>
          <t>E2E</t>
        </is>
      </c>
      <c r="G9" s="28" t="inlineStr">
        <is>
          <t>Critical</t>
        </is>
      </c>
      <c r="H9" s="28" t="inlineStr">
        <is>
          <t>Active</t>
        </is>
      </c>
      <c r="I9" s="24" t="n"/>
      <c r="J9" s="24" t="n"/>
      <c r="K9" s="24" t="n"/>
      <c r="L9" s="24" t="n"/>
      <c r="M9" s="24" t="n"/>
      <c r="N9" s="24" t="n"/>
      <c r="O9" s="24" t="n"/>
      <c r="P9" s="24" t="n"/>
      <c r="Q9" s="24" t="n"/>
      <c r="R9" s="24" t="n"/>
      <c r="S9" s="24" t="n"/>
      <c r="T9" s="24" t="n"/>
      <c r="U9" s="24" t="n"/>
      <c r="V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c r="A11" s="24"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c r="A14" s="24" t="n"/>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V60"/>
  <sheetViews>
    <sheetView tabSelected="1" topLeftCell="A9" zoomScale="73" workbookViewId="0">
      <selection activeCell="F13" sqref="F13"/>
    </sheetView>
  </sheetViews>
  <sheetFormatPr baseColWidth="8" defaultRowHeight="14.4"/>
  <cols>
    <col width="14" customWidth="1" min="1" max="2"/>
    <col width="20" customWidth="1" min="3" max="3"/>
    <col width="35" customWidth="1" min="4" max="4"/>
    <col width="12" customWidth="1" min="5" max="5"/>
    <col width="40" customWidth="1" min="6" max="6"/>
    <col width="60" customWidth="1" min="7" max="7"/>
    <col width="30" customWidth="1" min="8" max="8"/>
    <col width="60" customWidth="1" min="9" max="9"/>
    <col width="22" customWidth="1" min="10" max="10"/>
    <col width="11" customWidth="1" min="11" max="11"/>
    <col width="15" customWidth="1" min="12" max="12"/>
    <col width="25" customWidth="1" min="13" max="13"/>
    <col width="35" customWidth="1" min="14" max="14"/>
    <col width="25" customWidth="1" min="15" max="15"/>
    <col width="10" customWidth="1" min="16" max="16"/>
    <col width="12" customWidth="1" min="17" max="17"/>
  </cols>
  <sheetData>
    <row r="1" ht="28.8" customHeight="1">
      <c r="A1" s="27" t="inlineStr">
        <is>
          <t>TC ID</t>
        </is>
      </c>
      <c r="B1" s="27" t="inlineStr">
        <is>
          <t>Scenario ID</t>
        </is>
      </c>
      <c r="C1" s="27" t="inlineStr">
        <is>
          <t>Module / Feature</t>
        </is>
      </c>
      <c r="D1" s="27" t="inlineStr">
        <is>
          <t>Test Case Name</t>
        </is>
      </c>
      <c r="E1" s="27" t="inlineStr">
        <is>
          <t>Test Type</t>
        </is>
      </c>
      <c r="F1" s="27" t="inlineStr">
        <is>
          <t>Pre-conditions</t>
        </is>
      </c>
      <c r="G1" s="27" t="inlineStr">
        <is>
          <t>Test Steps</t>
        </is>
      </c>
      <c r="H1" s="27" t="inlineStr">
        <is>
          <t>Required Test Data</t>
        </is>
      </c>
      <c r="I1" s="27" t="inlineStr">
        <is>
          <t>Expected Result</t>
        </is>
      </c>
      <c r="J1" s="27" t="inlineStr">
        <is>
          <t>FR ID</t>
        </is>
      </c>
      <c r="K1" s="27" t="inlineStr">
        <is>
          <t>Priority</t>
        </is>
      </c>
      <c r="L1" s="27" t="inlineStr">
        <is>
          <t>Automation Feasibility</t>
        </is>
      </c>
      <c r="M1" s="27" t="inlineStr">
        <is>
          <t>Required APIs</t>
        </is>
      </c>
      <c r="N1" s="27" t="inlineStr">
        <is>
          <t>Required Robot Keywords</t>
        </is>
      </c>
      <c r="O1" s="27" t="inlineStr">
        <is>
          <t>Dependencies</t>
        </is>
      </c>
      <c r="P1" s="27" t="inlineStr">
        <is>
          <t>Status</t>
        </is>
      </c>
      <c r="Q1" s="27" t="inlineStr">
        <is>
          <t>Defect ID</t>
        </is>
      </c>
      <c r="R1" s="24" t="n"/>
      <c r="S1" s="24" t="n"/>
      <c r="T1" s="24" t="n"/>
      <c r="U1" s="24" t="n"/>
      <c r="V1" s="24" t="n"/>
    </row>
    <row r="2" ht="57.6" customHeight="1">
      <c r="A2" s="28" t="inlineStr">
        <is>
          <t>TC-NAV-UI-01</t>
        </is>
      </c>
      <c r="B2" s="28" t="inlineStr">
        <is>
          <t>TS-01</t>
        </is>
      </c>
      <c r="C2" s="29" t="inlineStr">
        <is>
          <t>UI Page Navigation</t>
        </is>
      </c>
      <c r="D2" s="29" t="inlineStr">
        <is>
          <t>Verify Navigation Flow and Menu Link Integrity</t>
        </is>
      </c>
      <c r="E2" s="28" t="inlineStr">
        <is>
          <t>UI</t>
        </is>
      </c>
      <c r="F2" s="29" t="inlineStr">
        <is>
          <t>User is logged in; main dashboard is visible.</t>
        </is>
      </c>
      <c r="G2" s="29" t="inlineStr">
        <is>
          <t>1. Log in to ParaBank online banking portal.
2. Locate the navigation menu on the left side.
3. Click on the 'Open New Account' link and verify page heading.
4. Click on the 'Transfer Funds' link and verify page heading.</t>
        </is>
      </c>
      <c r="H2" s="29" t="inlineStr">
        <is>
          <t>Username: dynamic (robot_user_XXXX)
Password: password123</t>
        </is>
      </c>
      <c r="I2" s="29" t="inlineStr">
        <is>
          <t>User is redirected successfully; 'Open New Account' and 'Transfer Funds' pages load with correct headings.</t>
        </is>
      </c>
      <c r="J2" s="29" t="inlineStr">
        <is>
          <t>FR-08</t>
        </is>
      </c>
      <c r="K2" s="28" t="inlineStr">
        <is>
          <t>Medium</t>
        </is>
      </c>
      <c r="L2" s="28" t="inlineStr">
        <is>
          <t>Yes</t>
        </is>
      </c>
      <c r="M2" s="29" t="inlineStr">
        <is>
          <t>None</t>
        </is>
      </c>
      <c r="N2" s="29" t="inlineStr">
        <is>
          <t>Click Element, Wait Until Page Contains Element, Verify Page Heading</t>
        </is>
      </c>
      <c r="O2" s="29" t="inlineStr">
        <is>
          <t>Login User</t>
        </is>
      </c>
      <c r="P2" s="28" t="inlineStr">
        <is>
          <t>Pass</t>
        </is>
      </c>
      <c r="Q2" s="28" t="inlineStr">
        <is>
          <t>N/A</t>
        </is>
      </c>
      <c r="R2" s="24" t="n"/>
      <c r="S2" s="24" t="n"/>
      <c r="T2" s="24" t="n"/>
      <c r="U2" s="24" t="n"/>
      <c r="V2" s="24" t="n"/>
    </row>
    <row r="3" ht="72" customHeight="1">
      <c r="A3" s="28" t="inlineStr">
        <is>
          <t>TC-AC-UI-01</t>
        </is>
      </c>
      <c r="B3" s="28" t="inlineStr">
        <is>
          <t>TS-01</t>
        </is>
      </c>
      <c r="C3" s="29" t="inlineStr">
        <is>
          <t>UI Account Creation</t>
        </is>
      </c>
      <c r="D3" s="29" t="inlineStr">
        <is>
          <t>Create Savings Account with Specific Source Funding Account</t>
        </is>
      </c>
      <c r="E3" s="28" t="inlineStr">
        <is>
          <t>UI</t>
        </is>
      </c>
      <c r="F3" s="29" t="inlineStr">
        <is>
          <t>User is logged in; multiple active accounts exist.</t>
        </is>
      </c>
      <c r="G3" s="29" t="inlineStr">
        <is>
          <t>1. Click the 'Open New Account' link.
2. Select 'SAVINGS' from the account type dropdown.
3. Click the source account dropdown and select a specific active account number.
4. Click the 'Open New Account' button.</t>
        </is>
      </c>
      <c r="H3" s="29" t="inlineStr">
        <is>
          <t>Account Type: SAVINGS
Source Account: index 0</t>
        </is>
      </c>
      <c r="I3" s="29" t="inlineStr">
        <is>
          <t>Savings account is created successfully. UI displays the success banner containing a valid clickable account number link.</t>
        </is>
      </c>
      <c r="J3" s="29" t="inlineStr">
        <is>
          <t>FR-01, FR-08</t>
        </is>
      </c>
      <c r="K3" s="28" t="inlineStr">
        <is>
          <t>High</t>
        </is>
      </c>
      <c r="L3" s="28" t="inlineStr">
        <is>
          <t>Yes</t>
        </is>
      </c>
      <c r="M3" s="29" t="inlineStr">
        <is>
          <t>None</t>
        </is>
      </c>
      <c r="N3" s="29" t="inlineStr">
        <is>
          <t>Select From List By Value, Click Button, Wait Until Page Contains</t>
        </is>
      </c>
      <c r="O3" s="29" t="inlineStr">
        <is>
          <t>Login User, Navigate to Open Account</t>
        </is>
      </c>
      <c r="P3" s="28" t="inlineStr">
        <is>
          <t>Pass</t>
        </is>
      </c>
      <c r="Q3" s="28" t="inlineStr">
        <is>
          <t>N/A</t>
        </is>
      </c>
      <c r="R3" s="24" t="n"/>
      <c r="S3" s="24" t="n"/>
      <c r="T3" s="24" t="n"/>
      <c r="U3" s="24" t="n"/>
      <c r="V3" s="24" t="n"/>
    </row>
    <row r="4" ht="57.6" customHeight="1">
      <c r="A4" s="28" t="inlineStr">
        <is>
          <t>TC-AC-UI-02</t>
        </is>
      </c>
      <c r="B4" s="28" t="inlineStr">
        <is>
          <t>TS-01</t>
        </is>
      </c>
      <c r="C4" s="29" t="inlineStr">
        <is>
          <t>UI Account Creation</t>
        </is>
      </c>
      <c r="D4" s="29" t="inlineStr">
        <is>
          <t>Create Checking Account with Default Funding Options</t>
        </is>
      </c>
      <c r="E4" s="28" t="inlineStr">
        <is>
          <t>UI</t>
        </is>
      </c>
      <c r="F4" s="29" t="inlineStr">
        <is>
          <t>User is logged in; a funding account is pre-populated.</t>
        </is>
      </c>
      <c r="G4" s="29" t="inlineStr">
        <is>
          <t>1. Click the 'Open New Account' link.
2. Keep 'CHECKING' as the default selected account type.
3. Retain the default source funding account selection.
4. Click the 'Open New Account' button.</t>
        </is>
      </c>
      <c r="H4" s="29" t="inlineStr">
        <is>
          <t>Account Type: CHECKING</t>
        </is>
      </c>
      <c r="I4" s="29" t="inlineStr">
        <is>
          <t>Checking account is created successfully. UI displays a success banner showing the new account number.</t>
        </is>
      </c>
      <c r="J4" s="29" t="inlineStr">
        <is>
          <t>FR-01, FR-08</t>
        </is>
      </c>
      <c r="K4" s="28" t="inlineStr">
        <is>
          <t>High</t>
        </is>
      </c>
      <c r="L4" s="28" t="inlineStr">
        <is>
          <t>Yes</t>
        </is>
      </c>
      <c r="M4" s="29" t="inlineStr">
        <is>
          <t>None</t>
        </is>
      </c>
      <c r="N4" s="29" t="inlineStr">
        <is>
          <t>Click Button, Wait Until Page Contains</t>
        </is>
      </c>
      <c r="O4" s="29" t="inlineStr">
        <is>
          <t>Login User, Navigate to Open Account</t>
        </is>
      </c>
      <c r="P4" s="28" t="inlineStr">
        <is>
          <t>Pass</t>
        </is>
      </c>
      <c r="Q4" s="28" t="inlineStr">
        <is>
          <t>N/A</t>
        </is>
      </c>
      <c r="R4" s="24" t="n"/>
      <c r="S4" s="24" t="n"/>
      <c r="T4" s="24" t="n"/>
      <c r="U4" s="24" t="n"/>
      <c r="V4" s="24" t="n"/>
    </row>
    <row r="5" ht="57.6" customHeight="1">
      <c r="A5" s="28" t="inlineStr">
        <is>
          <t>TC-AC-UI-03</t>
        </is>
      </c>
      <c r="B5" s="28" t="inlineStr">
        <is>
          <t>TS-01</t>
        </is>
      </c>
      <c r="C5" s="29" t="inlineStr">
        <is>
          <t>UI Account Creation</t>
        </is>
      </c>
      <c r="D5" s="29" t="inlineStr">
        <is>
          <t>Navigate to Account Details Screen via Confirmation Banner Link</t>
        </is>
      </c>
      <c r="E5" s="28" t="inlineStr">
        <is>
          <t>UI</t>
        </is>
      </c>
      <c r="F5" s="29" t="inlineStr">
        <is>
          <t>User is logged in; a new account has just been created.</t>
        </is>
      </c>
      <c r="G5" s="29" t="inlineStr">
        <is>
          <t>1. Perform checking account creation successfully.
2. Locate the generated account number link in the success message.
3. Click the account number hyperlink.
4. Verify the page URL and details displayed.</t>
        </is>
      </c>
      <c r="H5" s="29" t="inlineStr">
        <is>
          <t>Account ID link</t>
        </is>
      </c>
      <c r="I5" s="29" t="inlineStr">
        <is>
          <t>User is redirected to the 'Account Details' page; the URL ends with '/showAccount.htm?id={accountId}'. The account number, type, and balance match the created account.</t>
        </is>
      </c>
      <c r="J5" s="29" t="inlineStr">
        <is>
          <t>FR-01, FR-08</t>
        </is>
      </c>
      <c r="K5" s="28" t="inlineStr">
        <is>
          <t>High</t>
        </is>
      </c>
      <c r="L5" s="28" t="inlineStr">
        <is>
          <t>Yes</t>
        </is>
      </c>
      <c r="M5" s="29" t="inlineStr">
        <is>
          <t>None</t>
        </is>
      </c>
      <c r="N5" s="29" t="inlineStr">
        <is>
          <t>Click Link, Get Location, Wait Until Page Contains</t>
        </is>
      </c>
      <c r="O5" s="29" t="inlineStr">
        <is>
          <t>Login User, Create Account via UI</t>
        </is>
      </c>
      <c r="P5" s="28" t="inlineStr">
        <is>
          <t>Pass</t>
        </is>
      </c>
      <c r="Q5" s="28" t="inlineStr">
        <is>
          <t>N/A</t>
        </is>
      </c>
      <c r="R5" s="24" t="n"/>
      <c r="S5" s="24" t="n"/>
      <c r="T5" s="24" t="n"/>
      <c r="U5" s="24" t="n"/>
      <c r="V5" s="24" t="n"/>
    </row>
    <row r="6" ht="100.8" customHeight="1">
      <c r="A6" s="28" t="inlineStr">
        <is>
          <t>TC-AC-UI-04</t>
        </is>
      </c>
      <c r="B6" s="28" t="inlineStr">
        <is>
          <t>TS-03</t>
        </is>
      </c>
      <c r="C6" s="29" t="inlineStr">
        <is>
          <t>UI Account Creation</t>
        </is>
      </c>
      <c r="D6" s="29" t="inlineStr">
        <is>
          <t>Verify Open New Account Form Controls</t>
        </is>
      </c>
      <c r="E6" s="28" t="inlineStr">
        <is>
          <t>UI</t>
        </is>
      </c>
      <c r="F6" s="29" t="inlineStr">
        <is>
          <t>User is logged in.</t>
        </is>
      </c>
      <c r="G6" s="29" t="inlineStr">
        <is>
          <t>1. Click Open New Account link.
2. Verify Account Type dropdown is displayed.
3. Verify Existing Account dropdown is displayed.
4. Verify Open New Account button is displayed.</t>
        </is>
      </c>
      <c r="H6" s="29" t="inlineStr">
        <is>
          <t>N/A</t>
        </is>
      </c>
      <c r="I6" s="29" t="inlineStr">
        <is>
          <t>All form controls are visible and enabled.</t>
        </is>
      </c>
      <c r="J6" s="29" t="inlineStr">
        <is>
          <t>FR-01</t>
        </is>
      </c>
      <c r="K6" s="28" t="inlineStr">
        <is>
          <t>Medium</t>
        </is>
      </c>
      <c r="L6" s="28" t="inlineStr">
        <is>
          <t>Yes</t>
        </is>
      </c>
      <c r="M6" s="29" t="inlineStr">
        <is>
          <t>None</t>
        </is>
      </c>
      <c r="N6" s="29" t="inlineStr">
        <is>
          <t>Click Element, Element Should Be Visible</t>
        </is>
      </c>
      <c r="O6" s="29" t="inlineStr">
        <is>
          <t>Login User</t>
        </is>
      </c>
      <c r="P6" s="28" t="inlineStr">
        <is>
          <t>Pass</t>
        </is>
      </c>
      <c r="Q6" s="28" t="inlineStr">
        <is>
          <t>N/A</t>
        </is>
      </c>
      <c r="R6" s="24" t="n"/>
      <c r="S6" s="24" t="n"/>
      <c r="T6" s="24" t="n"/>
      <c r="U6" s="24" t="n"/>
      <c r="V6" s="24" t="n"/>
    </row>
    <row r="7" ht="72" customHeight="1">
      <c r="A7" s="28" t="inlineStr">
        <is>
          <t>TC-TX-UI-01</t>
        </is>
      </c>
      <c r="B7" s="28" t="inlineStr">
        <is>
          <t>TS-02</t>
        </is>
      </c>
      <c r="C7" s="29" t="inlineStr">
        <is>
          <t>UI Funds Transfer</t>
        </is>
      </c>
      <c r="D7" s="29" t="inlineStr">
        <is>
          <t>Verify Transfer Funds UI Input Fields and Page Interactivity</t>
        </is>
      </c>
      <c r="E7" s="28" t="inlineStr">
        <is>
          <t>UI</t>
        </is>
      </c>
      <c r="F7" s="29" t="inlineStr">
        <is>
          <t>User is logged in; accounts have positive balances.</t>
        </is>
      </c>
      <c r="G7" s="29" t="inlineStr">
        <is>
          <t>1. Click the 'Transfer Funds' link.
2. Enter '250.00' in the Amount field.
3. Select a source checking account from the 'From Account' dropdown.
4. Select a destination savings account from the 'To Account' dropdown.
5. Click the 'Transfer' button.</t>
        </is>
      </c>
      <c r="H7" s="29" t="inlineStr">
        <is>
          <t>Transfer Amount: 250.00
From Account: Checking
To Account: Savings</t>
        </is>
      </c>
      <c r="I7" s="29" t="inlineStr">
        <is>
          <t>UI displays 'Transfer Complete!' message along with the correct transfer amount ($250.00) and the matching source/destination account IDs.</t>
        </is>
      </c>
      <c r="J7" s="29" t="inlineStr">
        <is>
          <t>FR-05, FR-08</t>
        </is>
      </c>
      <c r="K7" s="28" t="inlineStr">
        <is>
          <t>High</t>
        </is>
      </c>
      <c r="L7" s="28" t="inlineStr">
        <is>
          <t>Yes</t>
        </is>
      </c>
      <c r="M7" s="29" t="inlineStr">
        <is>
          <t>None</t>
        </is>
      </c>
      <c r="N7" s="29" t="inlineStr">
        <is>
          <t>Input Text, Select From List By Value, Click Button</t>
        </is>
      </c>
      <c r="O7" s="29" t="inlineStr">
        <is>
          <t>Login User, Navigate to Transfer Funds</t>
        </is>
      </c>
      <c r="P7" s="28" t="inlineStr">
        <is>
          <t>Pass</t>
        </is>
      </c>
      <c r="Q7" s="28" t="inlineStr">
        <is>
          <t>N/A</t>
        </is>
      </c>
      <c r="R7" s="24" t="n"/>
      <c r="S7" s="24" t="n"/>
      <c r="T7" s="24" t="n"/>
      <c r="U7" s="24" t="n"/>
      <c r="V7" s="24" t="n"/>
    </row>
    <row r="8" ht="57.6" customHeight="1">
      <c r="A8" s="28" t="inlineStr">
        <is>
          <t>TC-TX-UI-02</t>
        </is>
      </c>
      <c r="B8" s="28" t="inlineStr">
        <is>
          <t>TS-02</t>
        </is>
      </c>
      <c r="C8" s="29" t="inlineStr">
        <is>
          <t>UI Funds Transfer</t>
        </is>
      </c>
      <c r="D8" s="29" t="inlineStr">
        <is>
          <t>Execute Fund Transfer from Savings to Checking Account</t>
        </is>
      </c>
      <c r="E8" s="28" t="inlineStr">
        <is>
          <t>UI</t>
        </is>
      </c>
      <c r="F8" s="29" t="inlineStr">
        <is>
          <t>User is logged in; savings account has an active balance of at least $100.</t>
        </is>
      </c>
      <c r="G8" s="29" t="inlineStr">
        <is>
          <t>1. Click the 'Transfer Funds' link.
2. Enter '50.00' in the Amount field.
3. Select the savings account from the 'From Account' dropdown.
4. Select the checking account from the 'To Account' dropdown.
5. Click the 'Transfer' button.</t>
        </is>
      </c>
      <c r="H8" s="29" t="inlineStr">
        <is>
          <t>Transfer Amount: 50.00
From Account: Savings
To Account: Checking</t>
        </is>
      </c>
      <c r="I8" s="29" t="inlineStr">
        <is>
          <t>The transfer completes successfully; the confirmation page displays the amount ($50.00) and correct account IDs.</t>
        </is>
      </c>
      <c r="J8" s="29" t="inlineStr">
        <is>
          <t>FR-05, FR-08</t>
        </is>
      </c>
      <c r="K8" s="28" t="inlineStr">
        <is>
          <t>High</t>
        </is>
      </c>
      <c r="L8" s="28" t="inlineStr">
        <is>
          <t>Yes</t>
        </is>
      </c>
      <c r="M8" s="29" t="inlineStr">
        <is>
          <t>None</t>
        </is>
      </c>
      <c r="N8" s="29" t="inlineStr">
        <is>
          <t>Input Text, Select From List By Value, Click Button</t>
        </is>
      </c>
      <c r="O8" s="29" t="inlineStr">
        <is>
          <t>Login User, Navigate to Transfer Funds</t>
        </is>
      </c>
      <c r="P8" s="28" t="inlineStr">
        <is>
          <t>Pass</t>
        </is>
      </c>
      <c r="Q8" s="28" t="inlineStr">
        <is>
          <t>N/A</t>
        </is>
      </c>
      <c r="R8" s="24" t="n"/>
      <c r="S8" s="24" t="n"/>
      <c r="T8" s="24" t="n"/>
      <c r="U8" s="24" t="n"/>
      <c r="V8" s="24" t="n"/>
    </row>
    <row r="9" ht="57.6" customHeight="1">
      <c r="A9" s="28" t="inlineStr">
        <is>
          <t>TC-TX-UI-03</t>
        </is>
      </c>
      <c r="B9" s="28" t="inlineStr">
        <is>
          <t>TS-03</t>
        </is>
      </c>
      <c r="C9" s="29" t="inlineStr">
        <is>
          <t>UI Funds Transfer (Negative)</t>
        </is>
      </c>
      <c r="D9" s="29" t="inlineStr">
        <is>
          <t>Verify UI Validation for Blank Amount in Transfer Form</t>
        </is>
      </c>
      <c r="E9" s="28" t="inlineStr">
        <is>
          <t>UI</t>
        </is>
      </c>
      <c r="F9" s="29" t="inlineStr">
        <is>
          <t>User is logged in; transfer form is displayed.</t>
        </is>
      </c>
      <c r="G9" s="29" t="inlineStr">
        <is>
          <t>1. Click the 'Transfer Funds' link.
2. Leave the Amount text field empty.
3. Select active source and destination accounts from the dropdowns.
4. Click the 'Transfer' button.</t>
        </is>
      </c>
      <c r="H9" s="29" t="inlineStr">
        <is>
          <t>Amount: Blank</t>
        </is>
      </c>
      <c r="I9" s="29" t="inlineStr">
        <is>
          <t>The transfer is blocked; UI displays a validation error message such as 'The amount field is required' or inline highlight.</t>
        </is>
      </c>
      <c r="J9" s="29" t="inlineStr">
        <is>
          <t>FR-09</t>
        </is>
      </c>
      <c r="K9" s="28" t="inlineStr">
        <is>
          <t>Medium</t>
        </is>
      </c>
      <c r="L9" s="28" t="inlineStr">
        <is>
          <t>Yes</t>
        </is>
      </c>
      <c r="M9" s="29" t="inlineStr">
        <is>
          <t>None</t>
        </is>
      </c>
      <c r="N9" s="29" t="inlineStr">
        <is>
          <t>Input Text, Click Button, Page Should Contain</t>
        </is>
      </c>
      <c r="O9" s="29" t="inlineStr">
        <is>
          <t>Login User, Navigate to Transfer Funds</t>
        </is>
      </c>
      <c r="P9" s="28" t="inlineStr">
        <is>
          <t>Fail</t>
        </is>
      </c>
      <c r="Q9" s="28" t="inlineStr">
        <is>
          <t>BUG-003</t>
        </is>
      </c>
      <c r="R9" s="24" t="n"/>
      <c r="S9" s="24" t="n"/>
      <c r="T9" s="24" t="n"/>
      <c r="U9" s="24" t="n"/>
      <c r="V9" s="24" t="n"/>
    </row>
    <row r="10" ht="57.6" customHeight="1">
      <c r="A10" s="28" t="inlineStr">
        <is>
          <t>TC-TX-UI-04</t>
        </is>
      </c>
      <c r="B10" s="28" t="inlineStr">
        <is>
          <t>TS-03</t>
        </is>
      </c>
      <c r="C10" s="29" t="inlineStr">
        <is>
          <t>UI Funds Transfer (Negative)</t>
        </is>
      </c>
      <c r="D10" s="29" t="inlineStr">
        <is>
          <t>Verify UI Validation for Alphabetic Characters in Transfer Amount</t>
        </is>
      </c>
      <c r="E10" s="28" t="inlineStr">
        <is>
          <t>UI</t>
        </is>
      </c>
      <c r="F10" s="29" t="inlineStr">
        <is>
          <t>User is logged in; transfer form is displayed.</t>
        </is>
      </c>
      <c r="G10" s="29" t="inlineStr">
        <is>
          <t>1. Click the 'Transfer Funds' link.
2. Enter 'abc' in the Amount field.
3. Select active source and destination accounts.
4. Click the 'Transfer' button.</t>
        </is>
      </c>
      <c r="H10" s="29" t="inlineStr">
        <is>
          <t>Amount: 'abc'</t>
        </is>
      </c>
      <c r="I10" s="29" t="inlineStr">
        <is>
          <t>The transfer is blocked; UI displays a validation warning 'Please enter a valid number' or blocks submission.</t>
        </is>
      </c>
      <c r="J10" s="29" t="inlineStr">
        <is>
          <t>FR-09</t>
        </is>
      </c>
      <c r="K10" s="28" t="inlineStr">
        <is>
          <t>Medium</t>
        </is>
      </c>
      <c r="L10" s="28" t="inlineStr">
        <is>
          <t>Yes</t>
        </is>
      </c>
      <c r="M10" s="29" t="inlineStr">
        <is>
          <t>None</t>
        </is>
      </c>
      <c r="N10" s="29" t="inlineStr">
        <is>
          <t>Input Text, Click Button, Page Should Contain</t>
        </is>
      </c>
      <c r="O10" s="29" t="inlineStr">
        <is>
          <t>Login User, Navigate to Transfer Funds</t>
        </is>
      </c>
      <c r="P10" s="28" t="inlineStr">
        <is>
          <t>Fail</t>
        </is>
      </c>
      <c r="Q10" s="28" t="inlineStr">
        <is>
          <t>BUG-006</t>
        </is>
      </c>
      <c r="R10" s="24" t="n"/>
      <c r="S10" s="24" t="n"/>
      <c r="T10" s="24" t="n"/>
      <c r="U10" s="24" t="n"/>
      <c r="V10" s="24" t="n"/>
    </row>
    <row r="11" ht="43.2" customHeight="1">
      <c r="A11" s="28" t="inlineStr">
        <is>
          <t>TC-TX-UI-05</t>
        </is>
      </c>
      <c r="B11" s="28" t="inlineStr">
        <is>
          <t>TS-03</t>
        </is>
      </c>
      <c r="C11" s="29" t="inlineStr">
        <is>
          <t>UI Funds Transfer (Negative)</t>
        </is>
      </c>
      <c r="D11" s="29" t="inlineStr">
        <is>
          <t>Verify UI Error Message for Transfer Amount Exceeding Available Balance</t>
        </is>
      </c>
      <c r="E11" s="28" t="inlineStr">
        <is>
          <t>UI</t>
        </is>
      </c>
      <c r="F11" s="29" t="inlineStr">
        <is>
          <t>User is logged in; source account has a balance of $50.</t>
        </is>
      </c>
      <c r="G11" s="29" t="inlineStr">
        <is>
          <t>1. Click the 'Transfer Funds' link.
2. Enter '500.00' (exceeding balance) in the Amount field.
3. Select the source account ($50 balance) and destination account.
4. Click the 'Transfer' button.</t>
        </is>
      </c>
      <c r="H11" s="29" t="inlineStr">
        <is>
          <t>Amount: 500.00 (exceeds balance)</t>
        </is>
      </c>
      <c r="I11" s="29" t="inlineStr">
        <is>
          <t>The system blocks the transfer or displays a validation warning stating that the source account has insufficient funds, failing the transaction.</t>
        </is>
      </c>
      <c r="J11" s="29" t="inlineStr">
        <is>
          <t>FR-09</t>
        </is>
      </c>
      <c r="K11" s="28" t="inlineStr">
        <is>
          <t>High</t>
        </is>
      </c>
      <c r="L11" s="28" t="inlineStr">
        <is>
          <t>Yes</t>
        </is>
      </c>
      <c r="M11" s="29" t="inlineStr">
        <is>
          <t>None</t>
        </is>
      </c>
      <c r="N11" s="29" t="inlineStr">
        <is>
          <t>Input Text, Click Button, Page Should Contain</t>
        </is>
      </c>
      <c r="O11" s="29" t="inlineStr">
        <is>
          <t>Login User, Navigate to Transfer Funds</t>
        </is>
      </c>
      <c r="P11" s="28" t="inlineStr">
        <is>
          <t>Fail</t>
        </is>
      </c>
      <c r="Q11" s="28" t="inlineStr">
        <is>
          <t>BUG-002</t>
        </is>
      </c>
      <c r="R11" s="24" t="n"/>
      <c r="S11" s="24" t="n"/>
      <c r="T11" s="24" t="n"/>
      <c r="U11" s="24" t="n"/>
      <c r="V11" s="24" t="n"/>
    </row>
    <row r="12" ht="43.2" customHeight="1">
      <c r="A12" s="28" t="inlineStr">
        <is>
          <t>TC-API-01</t>
        </is>
      </c>
      <c r="B12" s="28" t="inlineStr">
        <is>
          <t>TS-04</t>
        </is>
      </c>
      <c r="C12" s="29" t="inlineStr">
        <is>
          <t>API Accounts</t>
        </is>
      </c>
      <c r="D12" s="29" t="inlineStr">
        <is>
          <t>Verify GET Customer Accounts List Returns Valid Structure</t>
        </is>
      </c>
      <c r="E12" s="28" t="inlineStr">
        <is>
          <t>API</t>
        </is>
      </c>
      <c r="F12" s="29" t="inlineStr">
        <is>
          <t>Valid customer account ID exists; API basic authentication headers are set.</t>
        </is>
      </c>
      <c r="G12" s="29" t="inlineStr">
        <is>
          <t>1. Send a GET request to '/customers/{customerId}/accounts'.
2. Inspect the HTTP status code.
3. Validate that the response header Content-Type is application/json.</t>
        </is>
      </c>
      <c r="H12" s="29" t="inlineStr">
        <is>
          <t>customerId: (valid)</t>
        </is>
      </c>
      <c r="I12" s="29" t="inlineStr">
        <is>
          <t>Response returns HTTP 200 OK. Content-Type is JSON, and the body is a valid JSON array of account objects.</t>
        </is>
      </c>
      <c r="J12" s="29" t="inlineStr">
        <is>
          <t>FR-02</t>
        </is>
      </c>
      <c r="K12" s="28" t="inlineStr">
        <is>
          <t>High</t>
        </is>
      </c>
      <c r="L12" s="28" t="inlineStr">
        <is>
          <t>Yes</t>
        </is>
      </c>
      <c r="M12" s="29" t="inlineStr">
        <is>
          <t>GET /customers/{customerId}/accounts</t>
        </is>
      </c>
      <c r="N12" s="29" t="inlineStr">
        <is>
          <t>GET Request, Status Should Be, Get From Dictionary</t>
        </is>
      </c>
      <c r="O12" s="29" t="inlineStr">
        <is>
          <t>API Authentication</t>
        </is>
      </c>
      <c r="P12" s="28" t="inlineStr">
        <is>
          <t>Pass</t>
        </is>
      </c>
      <c r="Q12" s="28" t="inlineStr">
        <is>
          <t>N/A</t>
        </is>
      </c>
      <c r="R12" s="24" t="n"/>
      <c r="S12" s="24" t="n"/>
      <c r="T12" s="24" t="n"/>
      <c r="U12" s="24" t="n"/>
      <c r="V12" s="24" t="n"/>
    </row>
    <row r="13" ht="72" customHeight="1">
      <c r="A13" s="28" t="inlineStr">
        <is>
          <t>TC-API-02</t>
        </is>
      </c>
      <c r="B13" s="28" t="inlineStr">
        <is>
          <t>TS-04</t>
        </is>
      </c>
      <c r="C13" s="29" t="inlineStr">
        <is>
          <t>API Accounts</t>
        </is>
      </c>
      <c r="D13" s="29" t="inlineStr">
        <is>
          <t>Verify GET Specific Account Details Endpoint Schema</t>
        </is>
      </c>
      <c r="E13" s="28" t="inlineStr">
        <is>
          <t>API</t>
        </is>
      </c>
      <c r="F13" s="29" t="inlineStr">
        <is>
          <t>Active account ID exists in the system.</t>
        </is>
      </c>
      <c r="G13" s="29" t="inlineStr">
        <is>
          <t>1. Send a GET request to '/accounts/{accountId}'.
2. Verify response status code.
3. Inspect JSON body keys: 'id', 'customerId', 'type', 'balance'.</t>
        </is>
      </c>
      <c r="H13" s="29" t="inlineStr">
        <is>
          <t>accountId: (valid)</t>
        </is>
      </c>
      <c r="I13" s="29" t="inlineStr">
        <is>
          <t>Response status code is 200 OK. Body contains correct keys, 'id' is a valid integer matching the requested ID, 'type' is a string, and 'balance' is a number.</t>
        </is>
      </c>
      <c r="J13" s="29" t="inlineStr">
        <is>
          <t>FR-04</t>
        </is>
      </c>
      <c r="K13" s="28" t="inlineStr">
        <is>
          <t>High</t>
        </is>
      </c>
      <c r="L13" s="28" t="inlineStr">
        <is>
          <t>Yes</t>
        </is>
      </c>
      <c r="M13" s="29" t="inlineStr">
        <is>
          <t>GET /accounts/{accountId}</t>
        </is>
      </c>
      <c r="N13" s="29" t="inlineStr">
        <is>
          <t>GET Request, Status Should Be, Verify Dictionary Keys</t>
        </is>
      </c>
      <c r="O13" s="29" t="inlineStr">
        <is>
          <t>API Authentication</t>
        </is>
      </c>
      <c r="P13" s="28" t="inlineStr">
        <is>
          <t>Pass</t>
        </is>
      </c>
      <c r="Q13" s="28" t="inlineStr">
        <is>
          <t>N/A</t>
        </is>
      </c>
      <c r="R13" s="24" t="n"/>
      <c r="S13" s="24" t="n"/>
      <c r="T13" s="24" t="n"/>
      <c r="U13" s="24" t="n"/>
      <c r="V13" s="24" t="n"/>
    </row>
    <row r="14" ht="57.6" customHeight="1">
      <c r="A14" s="28" t="inlineStr">
        <is>
          <t>TC-API-03</t>
        </is>
      </c>
      <c r="B14" s="28" t="inlineStr">
        <is>
          <t>TS-04</t>
        </is>
      </c>
      <c r="C14" s="29" t="inlineStr">
        <is>
          <t>API Accounts</t>
        </is>
      </c>
      <c r="D14" s="29" t="inlineStr">
        <is>
          <t>Verify Newly Created Account Exists in Customer Accounts List via GET API</t>
        </is>
      </c>
      <c r="E14" s="28" t="inlineStr">
        <is>
          <t>API</t>
        </is>
      </c>
      <c r="F14" s="29" t="inlineStr">
        <is>
          <t>A new account has just been created via UI/API; customer ID exists; API authentication headers are set.</t>
        </is>
      </c>
      <c r="G14" s="29" t="inlineStr">
        <is>
          <t>1. Retrieve the newly created account number.
2. Send a GET request to '/customers/{customerId}/accounts'.
3. Check if the newly created account ID is present in the list.</t>
        </is>
      </c>
      <c r="H14" s="29" t="inlineStr">
        <is>
          <t>customerId: (valid)
accountId: (newly created account ID)</t>
        </is>
      </c>
      <c r="I14" s="29" t="inlineStr">
        <is>
          <t>Response returns HTTP 200 OK. The JSON response body is an array containing the newly created account ID.</t>
        </is>
      </c>
      <c r="J14" s="29" t="inlineStr">
        <is>
          <t>FR-03</t>
        </is>
      </c>
      <c r="K14" s="28" t="inlineStr">
        <is>
          <t>High</t>
        </is>
      </c>
      <c r="L14" s="28" t="inlineStr">
        <is>
          <t>Yes</t>
        </is>
      </c>
      <c r="M14" s="29" t="inlineStr">
        <is>
          <t>GET /customers/{customerId}/accounts</t>
        </is>
      </c>
      <c r="N14" s="29" t="inlineStr">
        <is>
          <t>GET Request, Status Should Be, Get From Dictionary, List Should Contain Value</t>
        </is>
      </c>
      <c r="O14" s="29" t="inlineStr">
        <is>
          <t>API Authentication, Create Account</t>
        </is>
      </c>
      <c r="P14" s="28" t="inlineStr">
        <is>
          <t>Pass</t>
        </is>
      </c>
      <c r="Q14" s="28" t="inlineStr">
        <is>
          <t>N/A</t>
        </is>
      </c>
      <c r="R14" s="24" t="n"/>
      <c r="S14" s="24" t="n"/>
      <c r="T14" s="24" t="n"/>
      <c r="U14" s="24" t="n"/>
      <c r="V14" s="24" t="n"/>
    </row>
    <row r="15" ht="43.2" customHeight="1">
      <c r="A15" s="28" t="inlineStr">
        <is>
          <t>TC-API-04</t>
        </is>
      </c>
      <c r="B15" s="28" t="inlineStr">
        <is>
          <t>TS-05</t>
        </is>
      </c>
      <c r="C15" s="29" t="inlineStr">
        <is>
          <t>API Funds Transfer</t>
        </is>
      </c>
      <c r="D15" s="29" t="inlineStr">
        <is>
          <t>Execute Fund Transfer via REST API Endpoint</t>
        </is>
      </c>
      <c r="E15" s="28" t="inlineStr">
        <is>
          <t>API</t>
        </is>
      </c>
      <c r="F15" s="29" t="inlineStr">
        <is>
          <t>Source and destination accounts exist; source account has sufficient funds.</t>
        </is>
      </c>
      <c r="G15" s="29" t="inlineStr">
        <is>
          <t>1. Send a POST request to '/transfer?fromAccountId={fromAccountId}&amp;toAccountId={toAccountId}&amp;amount=150.00'.
2. Check status code and response payload.</t>
        </is>
      </c>
      <c r="H15" s="29" t="inlineStr">
        <is>
          <t>fromAccountId: (valid)
toAccountId: (valid)
Amount: 150.00</t>
        </is>
      </c>
      <c r="I15" s="29" t="inlineStr">
        <is>
          <t>Response returns HTTP 200 OK. The response text contains 'Successfully transferred $150.00 from account {fromAccountId} to account {toAccountId}'.</t>
        </is>
      </c>
      <c r="J15" s="29" t="inlineStr">
        <is>
          <t>FR-06</t>
        </is>
      </c>
      <c r="K15" s="28" t="inlineStr">
        <is>
          <t>High</t>
        </is>
      </c>
      <c r="L15" s="28" t="inlineStr">
        <is>
          <t>Yes</t>
        </is>
      </c>
      <c r="M15" s="29" t="inlineStr">
        <is>
          <t>POST /transfer</t>
        </is>
      </c>
      <c r="N15" s="29" t="inlineStr">
        <is>
          <t>POST Request, Status Should Be, Should Contain</t>
        </is>
      </c>
      <c r="O15" s="29" t="inlineStr">
        <is>
          <t>API Authentication</t>
        </is>
      </c>
      <c r="P15" s="28" t="inlineStr">
        <is>
          <t>Pass</t>
        </is>
      </c>
      <c r="Q15" s="28" t="inlineStr">
        <is>
          <t>N/A</t>
        </is>
      </c>
      <c r="R15" s="24" t="n"/>
      <c r="S15" s="24" t="n"/>
      <c r="T15" s="24" t="n"/>
      <c r="U15" s="24" t="n"/>
      <c r="V15" s="24" t="n"/>
    </row>
    <row r="16" ht="43.2" customHeight="1">
      <c r="A16" s="28" t="inlineStr">
        <is>
          <t>TC-API-05</t>
        </is>
      </c>
      <c r="B16" s="28" t="inlineStr">
        <is>
          <t>TS-05</t>
        </is>
      </c>
      <c r="C16" s="29" t="inlineStr">
        <is>
          <t>API Funds Transfer</t>
        </is>
      </c>
      <c r="D16" s="29" t="inlineStr">
        <is>
          <t>Verify Source Account Balance Is Debited After API Transfer</t>
        </is>
      </c>
      <c r="E16" s="28" t="inlineStr">
        <is>
          <t>API</t>
        </is>
      </c>
      <c r="F16" s="29" t="inlineStr">
        <is>
          <t>A successful API transfer of $150.00 was executed.</t>
        </is>
      </c>
      <c r="G16" s="29" t="inlineStr">
        <is>
          <t>1. Send GET request to '/accounts/{sourceAccountId}' to retrieve details.
2. Compare the retrieved balance with the pre-transfer balance.</t>
        </is>
      </c>
      <c r="H16" s="29" t="inlineStr">
        <is>
          <t>sourceAccountId: (valid)
Transfer: $150.00</t>
        </is>
      </c>
      <c r="I16" s="29" t="inlineStr">
        <is>
          <t>Response is 200 OK. The source account balance is updated and is exactly equal to (pre_transfer_balance - 150.00).</t>
        </is>
      </c>
      <c r="J16" s="29" t="inlineStr">
        <is>
          <t>FR-06</t>
        </is>
      </c>
      <c r="K16" s="28" t="inlineStr">
        <is>
          <t>High</t>
        </is>
      </c>
      <c r="L16" s="28" t="inlineStr">
        <is>
          <t>Yes</t>
        </is>
      </c>
      <c r="M16" s="29" t="inlineStr">
        <is>
          <t>GET /accounts/{accountId}</t>
        </is>
      </c>
      <c r="N16" s="29" t="inlineStr">
        <is>
          <t>GET Request, Status Should Be, Evaluate</t>
        </is>
      </c>
      <c r="O16" s="29" t="inlineStr">
        <is>
          <t>API Authentication, Execute API Transfer</t>
        </is>
      </c>
      <c r="P16" s="28" t="inlineStr">
        <is>
          <t>Pass</t>
        </is>
      </c>
      <c r="Q16" s="28" t="inlineStr">
        <is>
          <t>N/A</t>
        </is>
      </c>
      <c r="R16" s="24" t="n"/>
      <c r="S16" s="24" t="n"/>
      <c r="T16" s="24" t="n"/>
      <c r="U16" s="24" t="n"/>
      <c r="V16" s="24" t="n"/>
    </row>
    <row r="17" ht="43.2" customHeight="1">
      <c r="A17" s="28" t="inlineStr">
        <is>
          <t>TC-API-06</t>
        </is>
      </c>
      <c r="B17" s="28" t="inlineStr">
        <is>
          <t>TS-05</t>
        </is>
      </c>
      <c r="C17" s="29" t="inlineStr">
        <is>
          <t>API Funds Transfer</t>
        </is>
      </c>
      <c r="D17" s="29" t="inlineStr">
        <is>
          <t>Verify Destination Account Balance Is Credited After API Transfer</t>
        </is>
      </c>
      <c r="E17" s="28" t="inlineStr">
        <is>
          <t>API</t>
        </is>
      </c>
      <c r="F17" s="29" t="inlineStr">
        <is>
          <t>A successful API transfer of $150.00 was executed.</t>
        </is>
      </c>
      <c r="G17" s="29" t="inlineStr">
        <is>
          <t>1. Send GET request to '/accounts/{destinationAccountId}' to retrieve details.
2. Compare the retrieved balance with the pre-transfer balance.</t>
        </is>
      </c>
      <c r="H17" s="29" t="inlineStr">
        <is>
          <t>destinationAccountId: (valid)
Transfer: $150.00</t>
        </is>
      </c>
      <c r="I17" s="29" t="inlineStr">
        <is>
          <t>Response is 200 OK. The destination account balance is updated and is exactly equal to (pre_transfer_balance + 150.00).</t>
        </is>
      </c>
      <c r="J17" s="29" t="inlineStr">
        <is>
          <t>FR-06</t>
        </is>
      </c>
      <c r="K17" s="28" t="inlineStr">
        <is>
          <t>High</t>
        </is>
      </c>
      <c r="L17" s="28" t="inlineStr">
        <is>
          <t>Yes</t>
        </is>
      </c>
      <c r="M17" s="29" t="inlineStr">
        <is>
          <t>GET /accounts/{accountId}</t>
        </is>
      </c>
      <c r="N17" s="29" t="inlineStr">
        <is>
          <t>GET Request, Status Should Be, Evaluate</t>
        </is>
      </c>
      <c r="O17" s="29" t="inlineStr">
        <is>
          <t>API Authentication, Execute API Transfer</t>
        </is>
      </c>
      <c r="P17" s="28" t="inlineStr">
        <is>
          <t>Pass</t>
        </is>
      </c>
      <c r="Q17" s="28" t="inlineStr">
        <is>
          <t>N/A</t>
        </is>
      </c>
      <c r="R17" s="24" t="n"/>
      <c r="S17" s="24" t="n"/>
      <c r="T17" s="24" t="n"/>
      <c r="U17" s="24" t="n"/>
      <c r="V17" s="24" t="n"/>
    </row>
    <row r="18" ht="43.2" customHeight="1">
      <c r="A18" s="28" t="inlineStr">
        <is>
          <t>TC-API-07</t>
        </is>
      </c>
      <c r="B18" s="28" t="inlineStr">
        <is>
          <t>TS-05</t>
        </is>
      </c>
      <c r="C18" s="29" t="inlineStr">
        <is>
          <t>API Transactions</t>
        </is>
      </c>
      <c r="D18" s="29" t="inlineStr">
        <is>
          <t>Verify Transaction History Logs Debit Entry and Transaction Amount Consistency</t>
        </is>
      </c>
      <c r="E18" s="28" t="inlineStr">
        <is>
          <t>API</t>
        </is>
      </c>
      <c r="F18" s="29" t="inlineStr">
        <is>
          <t>API transfer was executed successfully.</t>
        </is>
      </c>
      <c r="G18" s="29" t="inlineStr">
        <is>
          <t>1. Send a GET request to '/accounts/{sourceAccountId}/transactions'.
2. Iterate through the transaction array.
3. Find the transaction related to the transfer and check details.</t>
        </is>
      </c>
      <c r="H18" s="29" t="inlineStr">
        <is>
          <t>sourceAccountId: (valid)</t>
        </is>
      </c>
      <c r="I18" s="29" t="inlineStr">
        <is>
          <t>Response returns 200 OK. A transaction record is found with type 'Debit', amount equal to 150.00, matching target account info, and consistent with the transfer request inputs.</t>
        </is>
      </c>
      <c r="J18" s="29" t="inlineStr">
        <is>
          <t>FR-07</t>
        </is>
      </c>
      <c r="K18" s="28" t="inlineStr">
        <is>
          <t>High</t>
        </is>
      </c>
      <c r="L18" s="28" t="inlineStr">
        <is>
          <t>Yes</t>
        </is>
      </c>
      <c r="M18" s="29" t="inlineStr">
        <is>
          <t>GET /accounts/{accountId}/transactions</t>
        </is>
      </c>
      <c r="N18" s="29" t="inlineStr">
        <is>
          <t>GET Request, Status Should Be, Check Transaction Details</t>
        </is>
      </c>
      <c r="O18" s="29" t="inlineStr">
        <is>
          <t>API Authentication, Execute API Transfer</t>
        </is>
      </c>
      <c r="P18" s="28" t="inlineStr">
        <is>
          <t>Pass</t>
        </is>
      </c>
      <c r="Q18" s="28" t="inlineStr">
        <is>
          <t>N/A</t>
        </is>
      </c>
      <c r="R18" s="24" t="n"/>
      <c r="S18" s="24" t="n"/>
      <c r="T18" s="24" t="n"/>
      <c r="U18" s="24" t="n"/>
      <c r="V18" s="24" t="n"/>
    </row>
    <row r="19" ht="57.6" customHeight="1">
      <c r="A19" s="28" t="inlineStr">
        <is>
          <t>TC-API-08</t>
        </is>
      </c>
      <c r="B19" s="28" t="inlineStr">
        <is>
          <t>TS-06</t>
        </is>
      </c>
      <c r="C19" s="29" t="inlineStr">
        <is>
          <t>API Accounts (Negative)</t>
        </is>
      </c>
      <c r="D19" s="29" t="inlineStr">
        <is>
          <t>Verify GET Account Details for Non-Existent Account ID Returns 404</t>
        </is>
      </c>
      <c r="E19" s="28" t="inlineStr">
        <is>
          <t>API</t>
        </is>
      </c>
      <c r="F19" s="29" t="inlineStr">
        <is>
          <t>No account exists with ID '999999'.</t>
        </is>
      </c>
      <c r="G19" s="29" t="inlineStr">
        <is>
          <t>1. Send GET request to '/accounts/999999'.
2. Check HTTP status code.
3. Inspect error message in response body.</t>
        </is>
      </c>
      <c r="H19" s="29" t="inlineStr">
        <is>
          <t>accountId: 999999</t>
        </is>
      </c>
      <c r="I19" s="29" t="inlineStr">
        <is>
          <t>Response returns HTTP 404 Not Found (or 400 Bad Request) with a clear error payload (e.g. 'Could not find account #999999').</t>
        </is>
      </c>
      <c r="J19" s="29" t="inlineStr">
        <is>
          <t>FR-09</t>
        </is>
      </c>
      <c r="K19" s="28" t="inlineStr">
        <is>
          <t>Medium</t>
        </is>
      </c>
      <c r="L19" s="28" t="inlineStr">
        <is>
          <t>Yes</t>
        </is>
      </c>
      <c r="M19" s="29" t="inlineStr">
        <is>
          <t>GET /accounts/{accountId}</t>
        </is>
      </c>
      <c r="N19" s="29" t="inlineStr">
        <is>
          <t>GET Request, Status Should Be</t>
        </is>
      </c>
      <c r="O19" s="29" t="inlineStr">
        <is>
          <t>API Authentication</t>
        </is>
      </c>
      <c r="P19" s="28" t="inlineStr">
        <is>
          <t>Fail</t>
        </is>
      </c>
      <c r="Q19" s="28" t="inlineStr">
        <is>
          <t>BUG-001</t>
        </is>
      </c>
      <c r="R19" s="24" t="n"/>
      <c r="S19" s="24" t="n"/>
      <c r="T19" s="24" t="n"/>
      <c r="U19" s="24" t="n"/>
      <c r="V19" s="24" t="n"/>
    </row>
    <row r="20" ht="115.2" customHeight="1">
      <c r="A20" s="28" t="inlineStr">
        <is>
          <t>TC-API-09</t>
        </is>
      </c>
      <c r="B20" s="28" t="inlineStr">
        <is>
          <t>TS-06</t>
        </is>
      </c>
      <c r="C20" s="29" t="inlineStr">
        <is>
          <t>API Funds Transfer (Negative)</t>
        </is>
      </c>
      <c r="D20" s="29" t="inlineStr">
        <is>
          <t>Verify POST Fund Transfer Fails for Insufficient Account Balance</t>
        </is>
      </c>
      <c r="E20" s="28" t="inlineStr">
        <is>
          <t>API</t>
        </is>
      </c>
      <c r="F20" s="29" t="inlineStr">
        <is>
          <t>Source account has $10.00; destination account is valid.</t>
        </is>
      </c>
      <c r="G20" s="29" t="inlineStr">
        <is>
          <t>1. Send POST request to '/transfer?fromAccountId={sourceAccountId}&amp;toAccountId={destAccountId}&amp;amount=100.00'.
2. Inspect HTTP status code and response payload.</t>
        </is>
      </c>
      <c r="H20" s="29" t="inlineStr">
        <is>
          <t>fromAccountId: (valid)
toAccountId: (valid)
Amount: 100.00</t>
        </is>
      </c>
      <c r="I20" s="29" t="inlineStr">
        <is>
          <t>API rejects the transfer, returning HTTP 400 Bad Request or a failure code, and body contains an error message (e.g. 'Insufficient funds').</t>
        </is>
      </c>
      <c r="J20" s="29" t="inlineStr">
        <is>
          <t>FR-09</t>
        </is>
      </c>
      <c r="K20" s="28" t="inlineStr">
        <is>
          <t>High</t>
        </is>
      </c>
      <c r="L20" s="28" t="inlineStr">
        <is>
          <t>Yes</t>
        </is>
      </c>
      <c r="M20" s="29" t="inlineStr">
        <is>
          <t>POST /transfer</t>
        </is>
      </c>
      <c r="N20" s="29" t="inlineStr">
        <is>
          <t>POST Request, Status Should Be</t>
        </is>
      </c>
      <c r="O20" s="29" t="inlineStr">
        <is>
          <t>API Authentication</t>
        </is>
      </c>
      <c r="P20" s="28" t="inlineStr">
        <is>
          <t>Fail</t>
        </is>
      </c>
      <c r="Q20" s="28" t="inlineStr">
        <is>
          <t>BUG-004</t>
        </is>
      </c>
      <c r="R20" s="24" t="n"/>
      <c r="S20" s="24" t="n"/>
      <c r="T20" s="24" t="n"/>
      <c r="U20" s="24" t="n"/>
      <c r="V20" s="24" t="n"/>
    </row>
    <row r="21" ht="158.4" customHeight="1">
      <c r="A21" s="28" t="inlineStr">
        <is>
          <t>TC-API-10</t>
        </is>
      </c>
      <c r="B21" s="28" t="inlineStr">
        <is>
          <t>TS-05</t>
        </is>
      </c>
      <c r="C21" s="29" t="inlineStr">
        <is>
          <t>API Transactions</t>
        </is>
      </c>
      <c r="D21" s="29" t="inlineStr">
        <is>
          <t>Verify Transaction History Logs Credit Entry and Transaction Amount Consistency</t>
        </is>
      </c>
      <c r="E21" s="28" t="inlineStr">
        <is>
          <t>API</t>
        </is>
      </c>
      <c r="F21" s="29" t="inlineStr">
        <is>
          <t>API transfer was executed successfully.</t>
        </is>
      </c>
      <c r="G21" s="29" t="inlineStr">
        <is>
          <t>1. Send a GET request to '/accounts/{destinationAccountId}/transactions'.
2. Iterate through the transaction history.
3. Find the credit ledger entry corresponding to the transfer.</t>
        </is>
      </c>
      <c r="H21" s="29" t="inlineStr">
        <is>
          <t>destinationAccountId: (valid)</t>
        </is>
      </c>
      <c r="I21" s="29" t="inlineStr">
        <is>
          <t>Response returns 200 OK. A transaction record is found with type 'Credit', amount equal to 150.00, and matching source account info.</t>
        </is>
      </c>
      <c r="J21" s="29" t="inlineStr">
        <is>
          <t>FR-07</t>
        </is>
      </c>
      <c r="K21" s="28" t="inlineStr">
        <is>
          <t>High</t>
        </is>
      </c>
      <c r="L21" s="28" t="inlineStr">
        <is>
          <t>Yes</t>
        </is>
      </c>
      <c r="M21" s="29" t="inlineStr">
        <is>
          <t>GET /accounts/{accountId}/transactions</t>
        </is>
      </c>
      <c r="N21" s="29" t="inlineStr">
        <is>
          <t>GET Request, Status Should Be, Check Transaction Details</t>
        </is>
      </c>
      <c r="O21" s="29" t="inlineStr">
        <is>
          <t>API Authentication, Execute API Transfer</t>
        </is>
      </c>
      <c r="P21" s="28" t="inlineStr">
        <is>
          <t>Pass</t>
        </is>
      </c>
      <c r="Q21" s="28" t="inlineStr">
        <is>
          <t>N/A</t>
        </is>
      </c>
      <c r="R21" s="24" t="n"/>
      <c r="S21" s="24" t="n"/>
      <c r="T21" s="24" t="n"/>
      <c r="U21" s="24" t="n"/>
      <c r="V21" s="24" t="n"/>
    </row>
    <row r="22" ht="115.2" customHeight="1">
      <c r="A22" s="28" t="inlineStr">
        <is>
          <t>TC-E2E-01</t>
        </is>
      </c>
      <c r="B22" s="28" t="inlineStr">
        <is>
          <t>TS-07</t>
        </is>
      </c>
      <c r="C22" s="29" t="inlineStr">
        <is>
          <t>E2E Hybrid Flow</t>
        </is>
      </c>
      <c r="D22" s="29" t="inlineStr">
        <is>
          <t>End-to-End Account Provisioning, API Retrieval, and Attribute Verification Journey</t>
        </is>
      </c>
      <c r="E22" s="28" t="inlineStr">
        <is>
          <t>E2E</t>
        </is>
      </c>
      <c r="F22" s="29" t="inlineStr">
        <is>
          <t>User is logged in; API endpoints are reachable.</t>
        </is>
      </c>
      <c r="G22" s="29" t="inlineStr">
        <is>
          <t>1. Log in to the ParaBank web interface.
2. Navigate to 'Open New Account', select 'SAVINGS', and click create.
3. Extract the generated account number (e.g., '14532') from the success banner.
4. Call GET '/customers/{customerId}/accounts' API and assert that the account number '14532' is present in the list.
5. Call GET '/accounts/14532' API and assert type matches 'SAVINGS' and balance matches the initial deposit.</t>
        </is>
      </c>
      <c r="H22" s="29" t="inlineStr">
        <is>
          <t>Account Type: SAVINGS</t>
        </is>
      </c>
      <c r="I22" s="29" t="inlineStr">
        <is>
          <t>Account is opened via UI; API list updates immediately to include the new ID; specific API details match UI inputs exactly.</t>
        </is>
      </c>
      <c r="J22" s="29" t="inlineStr">
        <is>
          <t>FR-01, FR-02, FR-03, FR-04, FR-08</t>
        </is>
      </c>
      <c r="K22" s="28" t="inlineStr">
        <is>
          <t>Critical</t>
        </is>
      </c>
      <c r="L22" s="28" t="inlineStr">
        <is>
          <t>Yes</t>
        </is>
      </c>
      <c r="M22" s="29" t="inlineStr">
        <is>
          <t>GET /customers/{customerId}/accounts, GET /accounts/{accountId}</t>
        </is>
      </c>
      <c r="N22" s="29" t="inlineStr">
        <is>
          <t>Click Element, GET Request, Status Should Be, Verify Account Details</t>
        </is>
      </c>
      <c r="O22" s="29" t="inlineStr">
        <is>
          <t>Login User, API Authentication</t>
        </is>
      </c>
      <c r="P22" s="28" t="inlineStr">
        <is>
          <t>Pass</t>
        </is>
      </c>
      <c r="Q22" s="28" t="inlineStr">
        <is>
          <t>N/A</t>
        </is>
      </c>
      <c r="R22" s="24" t="n"/>
      <c r="S22" s="24" t="n"/>
      <c r="T22" s="24" t="n"/>
      <c r="U22" s="24" t="n"/>
      <c r="V22" s="24" t="n"/>
    </row>
    <row r="23" ht="115.2" customHeight="1">
      <c r="A23" s="28" t="inlineStr">
        <is>
          <t>TC-E2E-02</t>
        </is>
      </c>
      <c r="B23" s="28" t="inlineStr">
        <is>
          <t>TS-08</t>
        </is>
      </c>
      <c r="C23" s="29" t="inlineStr">
        <is>
          <t>E2E Hybrid Flow</t>
        </is>
      </c>
      <c r="D23" s="29" t="inlineStr">
        <is>
          <t>End-to-End Fund Transfer UI Execution and API Transaction Verification</t>
        </is>
      </c>
      <c r="E23" s="28" t="inlineStr">
        <is>
          <t>E2E</t>
        </is>
      </c>
      <c r="F23" s="29" t="inlineStr">
        <is>
          <t>User has two active accounts and API endpoint is available.</t>
        </is>
      </c>
      <c r="G23" s="29" t="inlineStr">
        <is>
          <t>1. Log in to ParaBank.
2. Navigate to Transfer Funds.
3. Enter transfer amount (120.00).
4. Select source and destination accounts.
5. Click Transfer.
6. Verify "Transfer Complete!" message.
7. Call GET /accounts/{accountId}/transactions API.
8. Verify transfer amount exists in transaction history.</t>
        </is>
      </c>
      <c r="H23" s="29" t="inlineStr">
        <is>
          <t>Transfer Amount: 120.00</t>
        </is>
      </c>
      <c r="I23" s="29" t="inlineStr">
        <is>
          <t>Transfer completes successfully in UI and transaction history API contains the transferred amount.</t>
        </is>
      </c>
      <c r="J23" s="29" t="inlineStr">
        <is>
          <t>FR-05, FR-08</t>
        </is>
      </c>
      <c r="K23" s="28" t="inlineStr">
        <is>
          <t>Critical</t>
        </is>
      </c>
      <c r="L23" s="28" t="inlineStr">
        <is>
          <t>Yes</t>
        </is>
      </c>
      <c r="M23" s="29" t="inlineStr">
        <is>
          <t>GET /accounts/{accountId}/transactions</t>
        </is>
      </c>
      <c r="N23" s="29" t="inlineStr">
        <is>
          <t>GET Request, Input Text, Click Button, Page Should Contain</t>
        </is>
      </c>
      <c r="O23" s="29" t="inlineStr">
        <is>
          <t>Login User, API Session</t>
        </is>
      </c>
      <c r="P23" s="28" t="inlineStr">
        <is>
          <t>Pass</t>
        </is>
      </c>
      <c r="Q23" s="28" t="inlineStr">
        <is>
          <t>N/A</t>
        </is>
      </c>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V60"/>
  <sheetViews>
    <sheetView workbookViewId="0">
      <selection activeCell="D10" sqref="D10"/>
    </sheetView>
  </sheetViews>
  <sheetFormatPr baseColWidth="8" defaultRowHeight="14.4"/>
  <cols>
    <col width="10" customWidth="1" min="1" max="1"/>
    <col width="35" customWidth="1" min="2" max="2"/>
    <col width="22" customWidth="1" min="3" max="3"/>
    <col width="35" customWidth="1" min="4" max="4"/>
    <col width="18" customWidth="1" min="5" max="5"/>
  </cols>
  <sheetData>
    <row r="1">
      <c r="A1" s="27" t="inlineStr">
        <is>
          <t>FR ID</t>
        </is>
      </c>
      <c r="B1" s="27" t="inlineStr">
        <is>
          <t>Functional Requirement</t>
        </is>
      </c>
      <c r="C1" s="27" t="inlineStr">
        <is>
          <t>Linked Scenarios</t>
        </is>
      </c>
      <c r="D1" s="27" t="inlineStr">
        <is>
          <t>Linked Test Cases</t>
        </is>
      </c>
      <c r="E1" s="27" t="inlineStr">
        <is>
          <t>Coverage Status</t>
        </is>
      </c>
      <c r="F1" s="24" t="n"/>
      <c r="G1" s="24" t="n"/>
      <c r="H1" s="24" t="n"/>
      <c r="I1" s="24" t="n"/>
      <c r="J1" s="24" t="n"/>
      <c r="K1" s="24" t="n"/>
      <c r="L1" s="24" t="n"/>
      <c r="M1" s="24" t="n"/>
      <c r="N1" s="24" t="n"/>
      <c r="O1" s="24" t="n"/>
      <c r="P1" s="24" t="n"/>
      <c r="Q1" s="24" t="n"/>
      <c r="R1" s="24" t="n"/>
      <c r="S1" s="24" t="n"/>
      <c r="T1" s="24" t="n"/>
      <c r="U1" s="24" t="n"/>
      <c r="V1" s="24" t="n"/>
    </row>
    <row r="2" ht="28.8" customHeight="1">
      <c r="A2" s="28" t="inlineStr">
        <is>
          <t>FR-01</t>
        </is>
      </c>
      <c r="B2" s="29" t="inlineStr">
        <is>
          <t>Create new account via UI</t>
        </is>
      </c>
      <c r="C2" s="28" t="inlineStr">
        <is>
          <t>TS-01, TS-07</t>
        </is>
      </c>
      <c r="D2" s="29" t="inlineStr">
        <is>
          <t>TC-AC-UI-01, TC-AC-UI-02, TC-AC-UI-03, TC-E2E-01</t>
        </is>
      </c>
      <c r="E2" s="28" t="inlineStr">
        <is>
          <t>Covered</t>
        </is>
      </c>
      <c r="F2" s="24" t="n"/>
      <c r="G2" s="24" t="n"/>
      <c r="H2" s="24" t="n"/>
      <c r="I2" s="24" t="n"/>
      <c r="J2" s="24" t="n"/>
      <c r="K2" s="24" t="n"/>
      <c r="L2" s="24" t="n"/>
      <c r="M2" s="24" t="n"/>
      <c r="N2" s="24" t="n"/>
      <c r="O2" s="24" t="n"/>
      <c r="P2" s="24" t="n"/>
      <c r="Q2" s="24" t="n"/>
      <c r="R2" s="24" t="n"/>
      <c r="S2" s="24" t="n"/>
      <c r="T2" s="24" t="n"/>
      <c r="U2" s="24" t="n"/>
      <c r="V2" s="24" t="n"/>
    </row>
    <row r="3">
      <c r="A3" s="28" t="inlineStr">
        <is>
          <t>FR-02</t>
        </is>
      </c>
      <c r="B3" s="29" t="inlineStr">
        <is>
          <t>GET accounts list via API</t>
        </is>
      </c>
      <c r="C3" s="28" t="inlineStr">
        <is>
          <t>TS-04, TS-07</t>
        </is>
      </c>
      <c r="D3" s="29" t="inlineStr">
        <is>
          <t>TC-API-01, TC-E2E-01</t>
        </is>
      </c>
      <c r="E3" s="28" t="inlineStr">
        <is>
          <t>Covered</t>
        </is>
      </c>
      <c r="F3" s="24" t="n"/>
      <c r="G3" s="24" t="n"/>
      <c r="H3" s="24" t="n"/>
      <c r="I3" s="24" t="n"/>
      <c r="J3" s="24" t="n"/>
      <c r="K3" s="24" t="n"/>
      <c r="L3" s="24" t="n"/>
      <c r="M3" s="24" t="n"/>
      <c r="N3" s="24" t="n"/>
      <c r="O3" s="24" t="n"/>
      <c r="P3" s="24" t="n"/>
      <c r="Q3" s="24" t="n"/>
      <c r="R3" s="24" t="n"/>
      <c r="S3" s="24" t="n"/>
      <c r="T3" s="24" t="n"/>
      <c r="U3" s="24" t="n"/>
      <c r="V3" s="24" t="n"/>
    </row>
    <row r="4">
      <c r="A4" s="28" t="inlineStr">
        <is>
          <t>FR-03</t>
        </is>
      </c>
      <c r="B4" s="29" t="inlineStr">
        <is>
          <t>Validate new account exists in API</t>
        </is>
      </c>
      <c r="C4" s="28" t="inlineStr">
        <is>
          <t>TS-04, TS-07</t>
        </is>
      </c>
      <c r="D4" s="29" t="inlineStr">
        <is>
          <t>TC-API-03, TC-E2E-01</t>
        </is>
      </c>
      <c r="E4" s="28" t="inlineStr">
        <is>
          <t>Covered</t>
        </is>
      </c>
      <c r="F4" s="24" t="n"/>
      <c r="G4" s="24" t="n"/>
      <c r="H4" s="24" t="n"/>
      <c r="I4" s="24" t="n"/>
      <c r="J4" s="24" t="n"/>
      <c r="K4" s="24" t="n"/>
      <c r="L4" s="24" t="n"/>
      <c r="M4" s="24" t="n"/>
      <c r="N4" s="24" t="n"/>
      <c r="O4" s="24" t="n"/>
      <c r="P4" s="24" t="n"/>
      <c r="Q4" s="24" t="n"/>
      <c r="R4" s="24" t="n"/>
      <c r="S4" s="24" t="n"/>
      <c r="T4" s="24" t="n"/>
      <c r="U4" s="24" t="n"/>
      <c r="V4" s="24" t="n"/>
    </row>
    <row r="5">
      <c r="A5" s="28" t="inlineStr">
        <is>
          <t>FR-04</t>
        </is>
      </c>
      <c r="B5" s="29" t="inlineStr">
        <is>
          <t>Validate account type and details in API</t>
        </is>
      </c>
      <c r="C5" s="28" t="inlineStr">
        <is>
          <t>TS-04, TS-07</t>
        </is>
      </c>
      <c r="D5" s="29" t="inlineStr">
        <is>
          <t>TC-API-02, TC-E2E-01</t>
        </is>
      </c>
      <c r="E5" s="28" t="inlineStr">
        <is>
          <t>Covered</t>
        </is>
      </c>
      <c r="F5" s="24" t="n"/>
      <c r="G5" s="24" t="n"/>
      <c r="H5" s="24" t="n"/>
      <c r="I5" s="24" t="n"/>
      <c r="J5" s="24" t="n"/>
      <c r="K5" s="24" t="n"/>
      <c r="L5" s="24" t="n"/>
      <c r="M5" s="24" t="n"/>
      <c r="N5" s="24" t="n"/>
      <c r="O5" s="24" t="n"/>
      <c r="P5" s="24" t="n"/>
      <c r="Q5" s="24" t="n"/>
      <c r="R5" s="24" t="n"/>
      <c r="S5" s="24" t="n"/>
      <c r="T5" s="24" t="n"/>
      <c r="U5" s="24" t="n"/>
      <c r="V5" s="24" t="n"/>
    </row>
    <row r="6" ht="28.8" customHeight="1">
      <c r="A6" s="28" t="inlineStr">
        <is>
          <t>FR-05</t>
        </is>
      </c>
      <c r="B6" s="29" t="inlineStr">
        <is>
          <t>Transfer funds via UI</t>
        </is>
      </c>
      <c r="C6" s="28" t="inlineStr">
        <is>
          <t>TS-02, TS-08</t>
        </is>
      </c>
      <c r="D6" s="29" t="inlineStr">
        <is>
          <t>TC-TX-UI-01, TC-TX-UI-02, TC-E2E-02</t>
        </is>
      </c>
      <c r="E6" s="28" t="inlineStr">
        <is>
          <t>Covered</t>
        </is>
      </c>
      <c r="F6" s="24" t="n"/>
      <c r="G6" s="24" t="n"/>
      <c r="H6" s="24" t="n"/>
      <c r="I6" s="24" t="n"/>
      <c r="J6" s="24" t="n"/>
      <c r="K6" s="24" t="n"/>
      <c r="L6" s="24" t="n"/>
      <c r="M6" s="24" t="n"/>
      <c r="N6" s="24" t="n"/>
      <c r="O6" s="24" t="n"/>
      <c r="P6" s="24" t="n"/>
      <c r="Q6" s="24" t="n"/>
      <c r="R6" s="24" t="n"/>
      <c r="S6" s="24" t="n"/>
      <c r="T6" s="24" t="n"/>
      <c r="U6" s="24" t="n"/>
      <c r="V6" s="24" t="n"/>
    </row>
    <row r="7" ht="28.8" customHeight="1">
      <c r="A7" s="28" t="inlineStr">
        <is>
          <t>FR-06</t>
        </is>
      </c>
      <c r="B7" s="29" t="inlineStr">
        <is>
          <t>Validate updated balances using API</t>
        </is>
      </c>
      <c r="C7" s="28" t="inlineStr">
        <is>
          <t>TS-05, TS-08</t>
        </is>
      </c>
      <c r="D7" s="29" t="inlineStr">
        <is>
          <t>TC-API-04, TC-API-05, TC-API-06, TC-E2E-02</t>
        </is>
      </c>
      <c r="E7" s="28" t="inlineStr">
        <is>
          <t>Covered</t>
        </is>
      </c>
      <c r="F7" s="24" t="n"/>
      <c r="G7" s="24" t="n"/>
      <c r="H7" s="24" t="n"/>
      <c r="I7" s="24" t="n"/>
      <c r="J7" s="24" t="n"/>
      <c r="K7" s="24" t="n"/>
      <c r="L7" s="24" t="n"/>
      <c r="M7" s="24" t="n"/>
      <c r="N7" s="24" t="n"/>
      <c r="O7" s="24" t="n"/>
      <c r="P7" s="24" t="n"/>
      <c r="Q7" s="24" t="n"/>
      <c r="R7" s="24" t="n"/>
      <c r="S7" s="24" t="n"/>
      <c r="T7" s="24" t="n"/>
      <c r="U7" s="24" t="n"/>
      <c r="V7" s="24" t="n"/>
    </row>
    <row r="8" ht="28.8" customHeight="1">
      <c r="A8" s="28" t="inlineStr">
        <is>
          <t>FR-07</t>
        </is>
      </c>
      <c r="B8" s="29" t="inlineStr">
        <is>
          <t>Validate transfer applied correctly (before/after values)</t>
        </is>
      </c>
      <c r="C8" s="28" t="inlineStr">
        <is>
          <t>TS-05, TS-08</t>
        </is>
      </c>
      <c r="D8" s="29" t="inlineStr">
        <is>
          <t>TC-API-07, TC-API-10, TC-E2E-02</t>
        </is>
      </c>
      <c r="E8" s="28" t="inlineStr">
        <is>
          <t>Covered</t>
        </is>
      </c>
      <c r="F8" s="24" t="n"/>
      <c r="G8" s="24" t="n"/>
      <c r="H8" s="24" t="n"/>
      <c r="I8" s="24" t="n"/>
      <c r="J8" s="24" t="n"/>
      <c r="K8" s="24" t="n"/>
      <c r="L8" s="24" t="n"/>
      <c r="M8" s="24" t="n"/>
      <c r="N8" s="24" t="n"/>
      <c r="O8" s="24" t="n"/>
      <c r="P8" s="24" t="n"/>
      <c r="Q8" s="24" t="n"/>
      <c r="R8" s="24" t="n"/>
      <c r="S8" s="24" t="n"/>
      <c r="T8" s="24" t="n"/>
      <c r="U8" s="24" t="n"/>
      <c r="V8" s="24" t="n"/>
    </row>
    <row r="9" ht="28.8" customHeight="1">
      <c r="A9" s="28" t="inlineStr">
        <is>
          <t>FR-08</t>
        </is>
      </c>
      <c r="B9" s="29" t="inlineStr">
        <is>
          <t>Validate UI messages (success, confirmation)</t>
        </is>
      </c>
      <c r="C9" s="28" t="inlineStr">
        <is>
          <t>TS-01, TS-02, TS-07, TS-08</t>
        </is>
      </c>
      <c r="D9" s="29" t="inlineStr">
        <is>
          <t>TC-NAV-UI-01, TC-AC-UI-01, TC-AC-UI-02, TC-AC-UI-03, TC-TX-UI-01, TC-TX-UI-02, TC-E2E-01, TC-E2E-02</t>
        </is>
      </c>
      <c r="E9" s="28" t="inlineStr">
        <is>
          <t>Covered</t>
        </is>
      </c>
      <c r="F9" s="24" t="n"/>
      <c r="G9" s="24" t="n"/>
      <c r="H9" s="24" t="n"/>
      <c r="I9" s="24" t="n"/>
      <c r="J9" s="24" t="n"/>
      <c r="K9" s="24" t="n"/>
      <c r="L9" s="24" t="n"/>
      <c r="M9" s="24" t="n"/>
      <c r="N9" s="24" t="n"/>
      <c r="O9" s="24" t="n"/>
      <c r="P9" s="24" t="n"/>
      <c r="Q9" s="24" t="n"/>
      <c r="R9" s="24" t="n"/>
      <c r="S9" s="24" t="n"/>
      <c r="T9" s="24" t="n"/>
      <c r="U9" s="24" t="n"/>
      <c r="V9" s="24" t="n"/>
    </row>
    <row r="10" ht="28.8" customHeight="1">
      <c r="A10" s="28" t="inlineStr">
        <is>
          <t>FR-09</t>
        </is>
      </c>
      <c r="B10" s="29" t="inlineStr">
        <is>
          <t>Validate negative scenarios</t>
        </is>
      </c>
      <c r="C10" s="28" t="inlineStr">
        <is>
          <t>TS-03, TS-06</t>
        </is>
      </c>
      <c r="D10" s="29" t="inlineStr">
        <is>
          <t>TC-TX-UI-03, TC-TX-UI-04, TC-TX-UI-05, TC-API-08, TC-API-09</t>
        </is>
      </c>
      <c r="E10" s="28" t="inlineStr">
        <is>
          <t>Covered (5 open defects: BUG-001, BUG-002, BUG-003, BUG-004, BUG-006)</t>
        </is>
      </c>
      <c r="F10" s="24" t="n"/>
      <c r="G10" s="24" t="n"/>
      <c r="H10" s="24" t="n"/>
      <c r="I10" s="24" t="n"/>
      <c r="J10" s="24" t="n"/>
      <c r="K10" s="24" t="n"/>
      <c r="L10" s="24" t="n"/>
      <c r="M10" s="24" t="n"/>
      <c r="N10" s="24" t="n"/>
      <c r="O10" s="24" t="n"/>
      <c r="P10" s="24" t="n"/>
      <c r="Q10" s="24" t="n"/>
      <c r="R10" s="24" t="n"/>
      <c r="S10" s="24" t="n"/>
      <c r="T10" s="24" t="n"/>
      <c r="U10" s="24" t="n"/>
      <c r="V10" s="24" t="n"/>
    </row>
    <row r="11">
      <c r="A11" s="24"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c r="A14" s="24" t="n"/>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V60"/>
  <sheetViews>
    <sheetView workbookViewId="0">
      <selection activeCell="G18" sqref="G18"/>
    </sheetView>
  </sheetViews>
  <sheetFormatPr baseColWidth="8" defaultRowHeight="14.4"/>
  <cols>
    <col width="14" customWidth="1" min="1" max="1"/>
    <col width="40" customWidth="1" min="2" max="2"/>
    <col width="10" customWidth="1" min="3" max="3"/>
    <col width="18" customWidth="1" min="4" max="4"/>
    <col width="10" customWidth="1" min="5" max="5"/>
    <col width="17" customWidth="1" min="6" max="6"/>
    <col width="12" customWidth="1" min="7" max="7"/>
    <col width="40" customWidth="1" min="8" max="8"/>
  </cols>
  <sheetData>
    <row r="1">
      <c r="A1" s="30" t="inlineStr">
        <is>
          <t>TEST EXECUTION RUN LOG - ParaBank Capstone (Robot Framework)</t>
        </is>
      </c>
      <c r="B1" s="23" t="n"/>
      <c r="C1" s="23" t="n"/>
      <c r="D1" s="23" t="n"/>
      <c r="E1" s="23" t="n"/>
      <c r="F1" s="23" t="n"/>
      <c r="G1" s="23" t="n"/>
      <c r="H1" s="23" t="n"/>
      <c r="I1" s="24" t="n"/>
      <c r="J1" s="24" t="n"/>
      <c r="K1" s="24" t="n"/>
      <c r="L1" s="24" t="n"/>
      <c r="M1" s="24" t="n"/>
      <c r="N1" s="24" t="n"/>
      <c r="O1" s="24" t="n"/>
      <c r="P1" s="24" t="n"/>
      <c r="Q1" s="24" t="n"/>
      <c r="R1" s="24" t="n"/>
      <c r="S1" s="24" t="n"/>
      <c r="T1" s="24" t="n"/>
      <c r="U1" s="24" t="n"/>
      <c r="V1" s="24" t="n"/>
    </row>
    <row r="2">
      <c r="A2" s="24" t="n"/>
      <c r="B2" s="24" t="n"/>
      <c r="C2" s="24" t="n"/>
      <c r="D2" s="24" t="n"/>
      <c r="E2" s="24" t="n"/>
      <c r="F2" s="24" t="n"/>
      <c r="G2" s="24" t="n"/>
      <c r="H2" s="24" t="n"/>
      <c r="I2" s="24" t="n"/>
      <c r="J2" s="24" t="n"/>
      <c r="K2" s="24" t="n"/>
      <c r="L2" s="24" t="n"/>
      <c r="M2" s="24" t="n"/>
      <c r="N2" s="24" t="n"/>
      <c r="O2" s="24" t="n"/>
      <c r="P2" s="24" t="n"/>
      <c r="Q2" s="24" t="n"/>
      <c r="R2" s="24" t="n"/>
      <c r="S2" s="24" t="n"/>
      <c r="T2" s="24" t="n"/>
      <c r="U2" s="24" t="n"/>
      <c r="V2" s="24" t="n"/>
    </row>
    <row r="3">
      <c r="A3" s="30" t="inlineStr">
        <is>
          <t>Project</t>
        </is>
      </c>
      <c r="B3" s="24" t="inlineStr">
        <is>
          <t>ParaBank Capstone – QA Documentation</t>
        </is>
      </c>
      <c r="C3" s="24" t="n"/>
      <c r="D3" s="24" t="n"/>
      <c r="E3" s="24" t="n"/>
      <c r="F3" s="24" t="n"/>
      <c r="G3" s="24" t="n"/>
      <c r="H3" s="24" t="n"/>
      <c r="I3" s="24" t="n"/>
      <c r="J3" s="24" t="n"/>
      <c r="K3" s="24" t="n"/>
      <c r="L3" s="24" t="n"/>
      <c r="M3" s="24" t="n"/>
      <c r="N3" s="24" t="n"/>
      <c r="O3" s="24" t="n"/>
      <c r="P3" s="24" t="n"/>
      <c r="Q3" s="24" t="n"/>
      <c r="R3" s="24" t="n"/>
      <c r="S3" s="24" t="n"/>
      <c r="T3" s="24" t="n"/>
      <c r="U3" s="24" t="n"/>
      <c r="V3" s="24" t="n"/>
    </row>
    <row r="4">
      <c r="A4" s="30" t="inlineStr">
        <is>
          <t>Executed By</t>
        </is>
      </c>
      <c r="B4" s="24" t="inlineStr">
        <is>
          <t>Senior QA Lead / Test Architect</t>
        </is>
      </c>
      <c r="C4" s="24" t="n"/>
      <c r="D4" s="24" t="n"/>
      <c r="E4" s="24" t="n"/>
      <c r="F4" s="24" t="n"/>
      <c r="G4" s="24" t="n"/>
      <c r="H4" s="24" t="n"/>
      <c r="I4" s="24" t="n"/>
      <c r="J4" s="24" t="n"/>
      <c r="K4" s="24" t="n"/>
      <c r="L4" s="24" t="n"/>
      <c r="M4" s="24" t="n"/>
      <c r="N4" s="24" t="n"/>
      <c r="O4" s="24" t="n"/>
      <c r="P4" s="24" t="n"/>
      <c r="Q4" s="24" t="n"/>
      <c r="R4" s="24" t="n"/>
      <c r="S4" s="24" t="n"/>
      <c r="T4" s="24" t="n"/>
      <c r="U4" s="24" t="n"/>
      <c r="V4" s="24" t="n"/>
    </row>
    <row r="5">
      <c r="A5" s="30" t="inlineStr">
        <is>
          <t>Execution Date</t>
        </is>
      </c>
      <c r="B5" s="24" t="inlineStr">
        <is>
          <t>17 June 2026</t>
        </is>
      </c>
      <c r="C5" s="24" t="n"/>
      <c r="D5" s="24" t="n"/>
      <c r="E5" s="24" t="n"/>
      <c r="F5" s="24" t="n"/>
      <c r="G5" s="24" t="n"/>
      <c r="H5" s="24" t="n"/>
      <c r="I5" s="24" t="n"/>
      <c r="J5" s="24" t="n"/>
      <c r="K5" s="24" t="n"/>
      <c r="L5" s="24" t="n"/>
      <c r="M5" s="24" t="n"/>
      <c r="N5" s="24" t="n"/>
      <c r="O5" s="24" t="n"/>
      <c r="P5" s="24" t="n"/>
      <c r="Q5" s="24" t="n"/>
      <c r="R5" s="24" t="n"/>
      <c r="S5" s="24" t="n"/>
      <c r="T5" s="24" t="n"/>
      <c r="U5" s="24" t="n"/>
      <c r="V5" s="24" t="n"/>
    </row>
    <row r="6">
      <c r="A6" s="30" t="inlineStr">
        <is>
          <t>Environment</t>
        </is>
      </c>
      <c r="B6" s="24" t="inlineStr">
        <is>
          <t>https://parabank.parasoft.com | Python 3.14 | Robot Framework 7+</t>
        </is>
      </c>
      <c r="C6" s="24" t="n"/>
      <c r="D6" s="24" t="n"/>
      <c r="E6" s="24" t="n"/>
      <c r="F6" s="24" t="n"/>
      <c r="G6" s="24" t="n"/>
      <c r="H6" s="24" t="n"/>
      <c r="I6" s="24" t="n"/>
      <c r="J6" s="24" t="n"/>
      <c r="K6" s="24" t="n"/>
      <c r="L6" s="24" t="n"/>
      <c r="M6" s="24" t="n"/>
      <c r="N6" s="24" t="n"/>
      <c r="O6" s="24" t="n"/>
      <c r="P6" s="24" t="n"/>
      <c r="Q6" s="24" t="n"/>
      <c r="R6" s="24" t="n"/>
      <c r="S6" s="24" t="n"/>
      <c r="T6" s="24" t="n"/>
      <c r="U6" s="24" t="n"/>
      <c r="V6" s="24" t="n"/>
    </row>
    <row r="7">
      <c r="A7" s="30" t="inlineStr">
        <is>
          <t>Total Test Cases</t>
        </is>
      </c>
      <c r="B7" s="24" t="n">
        <v>22</v>
      </c>
      <c r="C7" s="24" t="n"/>
      <c r="D7" s="24" t="n"/>
      <c r="E7" s="24" t="n"/>
      <c r="F7" s="24" t="n"/>
      <c r="G7" s="24" t="n"/>
      <c r="H7" s="24" t="n"/>
      <c r="I7" s="24" t="n"/>
      <c r="J7" s="24" t="n"/>
      <c r="K7" s="24" t="n"/>
      <c r="L7" s="24" t="n"/>
      <c r="M7" s="24" t="n"/>
      <c r="N7" s="24" t="n"/>
      <c r="O7" s="24" t="n"/>
      <c r="P7" s="24" t="n"/>
      <c r="Q7" s="24" t="n"/>
      <c r="R7" s="24" t="n"/>
      <c r="S7" s="24" t="n"/>
      <c r="T7" s="24" t="n"/>
      <c r="U7" s="24" t="n"/>
      <c r="V7" s="24" t="n"/>
    </row>
    <row r="8">
      <c r="A8" s="30" t="inlineStr">
        <is>
          <t>Pass</t>
        </is>
      </c>
      <c r="B8" s="24" t="n">
        <v>17</v>
      </c>
      <c r="C8" s="24" t="n"/>
      <c r="D8" s="24" t="n"/>
      <c r="E8" s="24" t="n"/>
      <c r="F8" s="24" t="n"/>
      <c r="G8" s="24" t="n"/>
      <c r="H8" s="24" t="n"/>
      <c r="I8" s="24" t="n"/>
      <c r="J8" s="24" t="n"/>
      <c r="K8" s="24" t="n"/>
      <c r="L8" s="24" t="n"/>
      <c r="M8" s="24" t="n"/>
      <c r="N8" s="24" t="n"/>
      <c r="O8" s="24" t="n"/>
      <c r="P8" s="24" t="n"/>
      <c r="Q8" s="24" t="n"/>
      <c r="R8" s="24" t="n"/>
      <c r="S8" s="24" t="n"/>
      <c r="T8" s="24" t="n"/>
      <c r="U8" s="24" t="n"/>
      <c r="V8" s="24" t="n"/>
    </row>
    <row r="9">
      <c r="A9" s="30" t="inlineStr">
        <is>
          <t>Fail</t>
        </is>
      </c>
      <c r="B9" s="24" t="n">
        <v>5</v>
      </c>
      <c r="C9" s="24" t="n"/>
      <c r="D9" s="24" t="n"/>
      <c r="E9" s="24" t="n"/>
      <c r="F9" s="24" t="n"/>
      <c r="G9" s="24" t="n"/>
      <c r="H9" s="24" t="n"/>
      <c r="I9" s="24" t="n"/>
      <c r="J9" s="24" t="n"/>
      <c r="K9" s="24" t="n"/>
      <c r="L9" s="24" t="n"/>
      <c r="M9" s="24" t="n"/>
      <c r="N9" s="24" t="n"/>
      <c r="O9" s="24" t="n"/>
      <c r="P9" s="24" t="n"/>
      <c r="Q9" s="24" t="n"/>
      <c r="R9" s="24" t="n"/>
      <c r="S9" s="24" t="n"/>
      <c r="T9" s="24" t="n"/>
      <c r="U9" s="24" t="n"/>
      <c r="V9" s="24" t="n"/>
    </row>
    <row r="10">
      <c r="A10" s="30" t="inlineStr">
        <is>
          <t>Blocked</t>
        </is>
      </c>
      <c r="B10" s="24" t="n">
        <v>0</v>
      </c>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c r="A11" s="30" t="inlineStr">
        <is>
          <t>Pass Rate</t>
        </is>
      </c>
      <c r="B11" s="24">
        <f>B8/B7</f>
        <v/>
      </c>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27" t="inlineStr">
        <is>
          <t>TC ID</t>
        </is>
      </c>
      <c r="B13" s="27" t="inlineStr">
        <is>
          <t>Test Case Name</t>
        </is>
      </c>
      <c r="C13" s="27" t="inlineStr">
        <is>
          <t>Type</t>
        </is>
      </c>
      <c r="D13" s="27" t="inlineStr">
        <is>
          <t>Browser/Channel</t>
        </is>
      </c>
      <c r="E13" s="27" t="inlineStr">
        <is>
          <t>Status</t>
        </is>
      </c>
      <c r="F13" s="27" t="inlineStr">
        <is>
          <t>Execution Time</t>
        </is>
      </c>
      <c r="G13" s="27" t="inlineStr">
        <is>
          <t>Defect ID</t>
        </is>
      </c>
      <c r="H13" s="27" t="inlineStr">
        <is>
          <t>Evidence</t>
        </is>
      </c>
      <c r="I13" s="24" t="n"/>
      <c r="J13" s="24" t="n"/>
      <c r="K13" s="24" t="n"/>
      <c r="L13" s="24" t="n"/>
      <c r="M13" s="24" t="n"/>
      <c r="N13" s="24" t="n"/>
      <c r="O13" s="24" t="n"/>
      <c r="P13" s="24" t="n"/>
      <c r="Q13" s="24" t="n"/>
      <c r="R13" s="24" t="n"/>
      <c r="S13" s="24" t="n"/>
      <c r="T13" s="24" t="n"/>
      <c r="U13" s="24" t="n"/>
      <c r="V13" s="24" t="n"/>
    </row>
    <row r="14">
      <c r="A14" s="28" t="inlineStr">
        <is>
          <t>TC-NAV-UI-01</t>
        </is>
      </c>
      <c r="B14" s="29" t="inlineStr">
        <is>
          <t>Verify Navigation Flow and Menu Link Integrity</t>
        </is>
      </c>
      <c r="C14" s="28" t="inlineStr">
        <is>
          <t>UI</t>
        </is>
      </c>
      <c r="D14" s="28" t="inlineStr">
        <is>
          <t>Chrome</t>
        </is>
      </c>
      <c r="E14" s="28" t="inlineStr">
        <is>
          <t>Pass</t>
        </is>
      </c>
      <c r="F14" s="28" t="inlineStr">
        <is>
          <t>1.8s</t>
        </is>
      </c>
      <c r="G14" s="28" t="inlineStr">
        <is>
          <t>—</t>
        </is>
      </c>
      <c r="H14" s="31" t="inlineStr">
        <is>
          <t>evidence/screenshot_navigation_flow.png</t>
        </is>
      </c>
      <c r="I14" s="24" t="n"/>
      <c r="J14" s="24" t="n"/>
      <c r="K14" s="24" t="n"/>
      <c r="L14" s="24" t="n"/>
      <c r="M14" s="24" t="n"/>
      <c r="N14" s="24" t="n"/>
      <c r="O14" s="24" t="n"/>
      <c r="P14" s="24" t="n"/>
      <c r="Q14" s="24" t="n"/>
      <c r="R14" s="24" t="n"/>
      <c r="S14" s="24" t="n"/>
      <c r="T14" s="24" t="n"/>
      <c r="U14" s="24" t="n"/>
      <c r="V14" s="24" t="n"/>
    </row>
    <row r="15" ht="28.8" customHeight="1">
      <c r="A15" s="28" t="inlineStr">
        <is>
          <t>TC-AC-UI-01</t>
        </is>
      </c>
      <c r="B15" s="29" t="inlineStr">
        <is>
          <t>Create Savings Account with Specific Source Funding Account</t>
        </is>
      </c>
      <c r="C15" s="28" t="inlineStr">
        <is>
          <t>UI</t>
        </is>
      </c>
      <c r="D15" s="28" t="inlineStr">
        <is>
          <t>Chrome</t>
        </is>
      </c>
      <c r="E15" s="28" t="inlineStr">
        <is>
          <t>Pass</t>
        </is>
      </c>
      <c r="F15" s="28" t="inlineStr">
        <is>
          <t>5.2s</t>
        </is>
      </c>
      <c r="G15" s="28" t="inlineStr">
        <is>
          <t>—</t>
        </is>
      </c>
      <c r="H15" s="31" t="inlineStr">
        <is>
          <t>evidence/screenshot_savings_specific.png</t>
        </is>
      </c>
      <c r="I15" s="24" t="n"/>
      <c r="J15" s="24" t="n"/>
      <c r="K15" s="24" t="n"/>
      <c r="L15" s="24" t="n"/>
      <c r="M15" s="24" t="n"/>
      <c r="N15" s="24" t="n"/>
      <c r="O15" s="24" t="n"/>
      <c r="P15" s="24" t="n"/>
      <c r="Q15" s="24" t="n"/>
      <c r="R15" s="24" t="n"/>
      <c r="S15" s="24" t="n"/>
      <c r="T15" s="24" t="n"/>
      <c r="U15" s="24" t="n"/>
      <c r="V15" s="24" t="n"/>
    </row>
    <row r="16" ht="28.8" customHeight="1">
      <c r="A16" s="28" t="inlineStr">
        <is>
          <t>TC-AC-UI-02</t>
        </is>
      </c>
      <c r="B16" s="29" t="inlineStr">
        <is>
          <t>Create Checking Account with Default Funding Options</t>
        </is>
      </c>
      <c r="C16" s="28" t="inlineStr">
        <is>
          <t>UI</t>
        </is>
      </c>
      <c r="D16" s="28" t="inlineStr">
        <is>
          <t>Chrome</t>
        </is>
      </c>
      <c r="E16" s="28" t="inlineStr">
        <is>
          <t>Pass</t>
        </is>
      </c>
      <c r="F16" s="28" t="inlineStr">
        <is>
          <t>4.9s</t>
        </is>
      </c>
      <c r="G16" s="28" t="inlineStr">
        <is>
          <t>—</t>
        </is>
      </c>
      <c r="H16" s="31" t="inlineStr">
        <is>
          <t>evidence/screenshot_checking_default.png</t>
        </is>
      </c>
      <c r="I16" s="24" t="n"/>
      <c r="J16" s="24" t="n"/>
      <c r="K16" s="24" t="n"/>
      <c r="L16" s="24" t="n"/>
      <c r="M16" s="24" t="n"/>
      <c r="N16" s="24" t="n"/>
      <c r="O16" s="24" t="n"/>
      <c r="P16" s="24" t="n"/>
      <c r="Q16" s="24" t="n"/>
      <c r="R16" s="24" t="n"/>
      <c r="S16" s="24" t="n"/>
      <c r="T16" s="24" t="n"/>
      <c r="U16" s="24" t="n"/>
      <c r="V16" s="24" t="n"/>
    </row>
    <row r="17" ht="28.8" customHeight="1">
      <c r="A17" s="28" t="inlineStr">
        <is>
          <t>TC-AC-UI-03</t>
        </is>
      </c>
      <c r="B17" s="29" t="inlineStr">
        <is>
          <t>Navigate to Account Details Screen via Confirmation Banner Link</t>
        </is>
      </c>
      <c r="C17" s="28" t="inlineStr">
        <is>
          <t>UI</t>
        </is>
      </c>
      <c r="D17" s="28" t="inlineStr">
        <is>
          <t>Chrome</t>
        </is>
      </c>
      <c r="E17" s="28" t="inlineStr">
        <is>
          <t>Pass</t>
        </is>
      </c>
      <c r="F17" s="28" t="inlineStr">
        <is>
          <t>3.1s</t>
        </is>
      </c>
      <c r="G17" s="28" t="inlineStr">
        <is>
          <t>—</t>
        </is>
      </c>
      <c r="H17" s="31" t="inlineStr">
        <is>
          <t>evidence/screenshot_details_navigation.png</t>
        </is>
      </c>
      <c r="I17" s="24" t="n"/>
      <c r="J17" s="24" t="n"/>
      <c r="K17" s="24" t="n"/>
      <c r="L17" s="24" t="n"/>
      <c r="M17" s="24" t="n"/>
      <c r="N17" s="24" t="n"/>
      <c r="O17" s="24" t="n"/>
      <c r="P17" s="24" t="n"/>
      <c r="Q17" s="24" t="n"/>
      <c r="R17" s="24" t="n"/>
      <c r="S17" s="24" t="n"/>
      <c r="T17" s="24" t="n"/>
      <c r="U17" s="24" t="n"/>
      <c r="V17" s="24" t="n"/>
    </row>
    <row r="18" ht="28.8" customHeight="1">
      <c r="A18" s="28" t="inlineStr">
        <is>
          <t>TC-AC-UI-04</t>
        </is>
      </c>
      <c r="B18" s="29" t="inlineStr">
        <is>
          <t>Verify Open New Account Form Controls</t>
        </is>
      </c>
      <c r="C18" s="28" t="inlineStr">
        <is>
          <t>UI</t>
        </is>
      </c>
      <c r="D18" s="28" t="inlineStr">
        <is>
          <t>Chrome</t>
        </is>
      </c>
      <c r="E18" s="28" t="inlineStr">
        <is>
          <t>Pass</t>
        </is>
      </c>
      <c r="F18" s="28" t="inlineStr">
        <is>
          <t>2.1s</t>
        </is>
      </c>
      <c r="G18" s="28" t="inlineStr">
        <is>
          <t>—</t>
        </is>
      </c>
      <c r="H18" s="31" t="inlineStr">
        <is>
          <t>evidence/screenshot_open_account_controls.png</t>
        </is>
      </c>
      <c r="I18" s="24" t="n"/>
      <c r="J18" s="24" t="n"/>
      <c r="K18" s="24" t="n"/>
      <c r="L18" s="24" t="n"/>
      <c r="M18" s="24" t="n"/>
      <c r="N18" s="24" t="n"/>
      <c r="O18" s="24" t="n"/>
      <c r="P18" s="24" t="n"/>
      <c r="Q18" s="24" t="n"/>
      <c r="R18" s="24" t="n"/>
      <c r="S18" s="24" t="n"/>
      <c r="T18" s="24" t="n"/>
      <c r="U18" s="24" t="n"/>
      <c r="V18" s="24" t="n"/>
    </row>
    <row r="19" ht="28.8" customHeight="1">
      <c r="A19" s="28" t="inlineStr">
        <is>
          <t>TC-TX-UI-01</t>
        </is>
      </c>
      <c r="B19" s="29" t="inlineStr">
        <is>
          <t>Verify Transfer Funds UI Input Fields and Page Interactivity</t>
        </is>
      </c>
      <c r="C19" s="28" t="inlineStr">
        <is>
          <t>UI</t>
        </is>
      </c>
      <c r="D19" s="28" t="inlineStr">
        <is>
          <t>Chrome</t>
        </is>
      </c>
      <c r="E19" s="28" t="inlineStr">
        <is>
          <t>Pass</t>
        </is>
      </c>
      <c r="F19" s="28" t="inlineStr">
        <is>
          <t>6.4s</t>
        </is>
      </c>
      <c r="G19" s="28" t="inlineStr">
        <is>
          <t>—</t>
        </is>
      </c>
      <c r="H19" s="31" t="inlineStr">
        <is>
          <t>evidence/screenshot_transfer_interactivity.png</t>
        </is>
      </c>
      <c r="I19" s="24" t="n"/>
      <c r="J19" s="24" t="n"/>
      <c r="K19" s="24" t="n"/>
      <c r="L19" s="24" t="n"/>
      <c r="M19" s="24" t="n"/>
      <c r="N19" s="24" t="n"/>
      <c r="O19" s="24" t="n"/>
      <c r="P19" s="24" t="n"/>
      <c r="Q19" s="24" t="n"/>
      <c r="R19" s="24" t="n"/>
      <c r="S19" s="24" t="n"/>
      <c r="T19" s="24" t="n"/>
      <c r="U19" s="24" t="n"/>
      <c r="V19" s="24" t="n"/>
    </row>
    <row r="20" ht="28.8" customHeight="1">
      <c r="A20" s="28" t="inlineStr">
        <is>
          <t>TC-TX-UI-02</t>
        </is>
      </c>
      <c r="B20" s="29" t="inlineStr">
        <is>
          <t>Execute Fund Transfer from Savings to Checking Account</t>
        </is>
      </c>
      <c r="C20" s="28" t="inlineStr">
        <is>
          <t>UI</t>
        </is>
      </c>
      <c r="D20" s="28" t="inlineStr">
        <is>
          <t>Chrome</t>
        </is>
      </c>
      <c r="E20" s="28" t="inlineStr">
        <is>
          <t>Pass</t>
        </is>
      </c>
      <c r="F20" s="28" t="inlineStr">
        <is>
          <t>6.1s</t>
        </is>
      </c>
      <c r="G20" s="28" t="inlineStr">
        <is>
          <t>—</t>
        </is>
      </c>
      <c r="H20" s="31" t="inlineStr">
        <is>
          <t>evidence/screenshot_savings_to_checking.png</t>
        </is>
      </c>
      <c r="I20" s="24" t="n"/>
      <c r="J20" s="24" t="n"/>
      <c r="K20" s="24" t="n"/>
      <c r="L20" s="24" t="n"/>
      <c r="M20" s="24" t="n"/>
      <c r="N20" s="24" t="n"/>
      <c r="O20" s="24" t="n"/>
      <c r="P20" s="24" t="n"/>
      <c r="Q20" s="24" t="n"/>
      <c r="R20" s="24" t="n"/>
      <c r="S20" s="24" t="n"/>
      <c r="T20" s="24" t="n"/>
      <c r="U20" s="24" t="n"/>
      <c r="V20" s="24" t="n"/>
    </row>
    <row r="21" ht="28.8" customHeight="1">
      <c r="A21" s="28" t="inlineStr">
        <is>
          <t>TC-TX-UI-03</t>
        </is>
      </c>
      <c r="B21" s="29" t="inlineStr">
        <is>
          <t>Verify UI Validation for Blank Amount in Transfer Form</t>
        </is>
      </c>
      <c r="C21" s="28" t="inlineStr">
        <is>
          <t>UI</t>
        </is>
      </c>
      <c r="D21" s="28" t="inlineStr">
        <is>
          <t>Chrome</t>
        </is>
      </c>
      <c r="E21" s="28" t="inlineStr">
        <is>
          <t>Fail</t>
        </is>
      </c>
      <c r="F21" s="28" t="inlineStr">
        <is>
          <t>2.3s</t>
        </is>
      </c>
      <c r="G21" s="28" t="inlineStr">
        <is>
          <t>BUG-003</t>
        </is>
      </c>
      <c r="H21" s="31" t="inlineStr">
        <is>
          <t>evidence/screenshot_empty_transfer_warning.png</t>
        </is>
      </c>
      <c r="I21" s="24" t="n"/>
      <c r="J21" s="24" t="n"/>
      <c r="K21" s="24" t="n"/>
      <c r="L21" s="24" t="n"/>
      <c r="M21" s="24" t="n"/>
      <c r="N21" s="24" t="n"/>
      <c r="O21" s="24" t="n"/>
      <c r="P21" s="24" t="n"/>
      <c r="Q21" s="24" t="n"/>
      <c r="R21" s="24" t="n"/>
      <c r="S21" s="24" t="n"/>
      <c r="T21" s="24" t="n"/>
      <c r="U21" s="24" t="n"/>
      <c r="V21" s="24" t="n"/>
    </row>
    <row r="22" ht="28.8" customHeight="1">
      <c r="A22" s="28" t="inlineStr">
        <is>
          <t>TC-TX-UI-04</t>
        </is>
      </c>
      <c r="B22" s="29" t="inlineStr">
        <is>
          <t>Verify UI Validation for Alphabetic Characters in Transfer Amount</t>
        </is>
      </c>
      <c r="C22" s="28" t="inlineStr">
        <is>
          <t>UI</t>
        </is>
      </c>
      <c r="D22" s="28" t="inlineStr">
        <is>
          <t>Chrome</t>
        </is>
      </c>
      <c r="E22" s="28" t="inlineStr">
        <is>
          <t>Fail</t>
        </is>
      </c>
      <c r="F22" s="28" t="inlineStr">
        <is>
          <t>2.6s</t>
        </is>
      </c>
      <c r="G22" s="28" t="inlineStr">
        <is>
          <t>BUG-006</t>
        </is>
      </c>
      <c r="H22" s="31" t="inlineStr">
        <is>
          <t>evidence/screenshot_alpha_transfer_warning.png</t>
        </is>
      </c>
      <c r="I22" s="24" t="n"/>
      <c r="J22" s="24" t="n"/>
      <c r="K22" s="24" t="n"/>
      <c r="L22" s="24" t="n"/>
      <c r="M22" s="24" t="n"/>
      <c r="N22" s="24" t="n"/>
      <c r="O22" s="24" t="n"/>
      <c r="P22" s="24" t="n"/>
      <c r="Q22" s="24" t="n"/>
      <c r="R22" s="24" t="n"/>
      <c r="S22" s="24" t="n"/>
      <c r="T22" s="24" t="n"/>
      <c r="U22" s="24" t="n"/>
      <c r="V22" s="24" t="n"/>
    </row>
    <row r="23" ht="28.8" customHeight="1">
      <c r="A23" s="28" t="inlineStr">
        <is>
          <t>TC-TX-UI-05</t>
        </is>
      </c>
      <c r="B23" s="29" t="inlineStr">
        <is>
          <t>Verify UI Error Message for Transfer Amount Exceeding Available Balance</t>
        </is>
      </c>
      <c r="C23" s="28" t="inlineStr">
        <is>
          <t>UI</t>
        </is>
      </c>
      <c r="D23" s="28" t="inlineStr">
        <is>
          <t>Chrome</t>
        </is>
      </c>
      <c r="E23" s="28" t="inlineStr">
        <is>
          <t>Fail</t>
        </is>
      </c>
      <c r="F23" s="28" t="inlineStr">
        <is>
          <t>7.5s</t>
        </is>
      </c>
      <c r="G23" s="28" t="inlineStr">
        <is>
          <t>BUG-002</t>
        </is>
      </c>
      <c r="H23" s="31" t="inlineStr">
        <is>
          <t>evidence/screenshot_overdraft_transfer_allowed.png</t>
        </is>
      </c>
      <c r="I23" s="24" t="n"/>
      <c r="J23" s="24" t="n"/>
      <c r="K23" s="24" t="n"/>
      <c r="L23" s="24" t="n"/>
      <c r="M23" s="24" t="n"/>
      <c r="N23" s="24" t="n"/>
      <c r="O23" s="24" t="n"/>
      <c r="P23" s="24" t="n"/>
      <c r="Q23" s="24" t="n"/>
      <c r="R23" s="24" t="n"/>
      <c r="S23" s="24" t="n"/>
      <c r="T23" s="24" t="n"/>
      <c r="U23" s="24" t="n"/>
      <c r="V23" s="24" t="n"/>
    </row>
    <row r="24" ht="28.8" customHeight="1">
      <c r="A24" s="28" t="inlineStr">
        <is>
          <t>TC-API-01</t>
        </is>
      </c>
      <c r="B24" s="29" t="inlineStr">
        <is>
          <t>Verify GET Customer Accounts List Returns Valid Structure</t>
        </is>
      </c>
      <c r="C24" s="28" t="inlineStr">
        <is>
          <t>API</t>
        </is>
      </c>
      <c r="D24" s="28" t="inlineStr">
        <is>
          <t>Chrome</t>
        </is>
      </c>
      <c r="E24" s="28" t="inlineStr">
        <is>
          <t>Pass</t>
        </is>
      </c>
      <c r="F24" s="28" t="inlineStr">
        <is>
          <t>850ms</t>
        </is>
      </c>
      <c r="G24" s="28" t="inlineStr">
        <is>
          <t>—</t>
        </is>
      </c>
      <c r="H24" s="31" t="inlineStr">
        <is>
          <t>evidence/api_response_customer_accounts.json</t>
        </is>
      </c>
      <c r="I24" s="24" t="n"/>
      <c r="J24" s="24" t="n"/>
      <c r="K24" s="24" t="n"/>
      <c r="L24" s="24" t="n"/>
      <c r="M24" s="24" t="n"/>
      <c r="N24" s="24" t="n"/>
      <c r="O24" s="24" t="n"/>
      <c r="P24" s="24" t="n"/>
      <c r="Q24" s="24" t="n"/>
      <c r="R24" s="24" t="n"/>
      <c r="S24" s="24" t="n"/>
      <c r="T24" s="24" t="n"/>
      <c r="U24" s="24" t="n"/>
      <c r="V24" s="24" t="n"/>
    </row>
    <row r="25" ht="28.8" customHeight="1">
      <c r="A25" s="28" t="inlineStr">
        <is>
          <t>TC-API-02</t>
        </is>
      </c>
      <c r="B25" s="29" t="inlineStr">
        <is>
          <t>Verify GET Specific Account Details Endpoint Schema</t>
        </is>
      </c>
      <c r="C25" s="28" t="inlineStr">
        <is>
          <t>API</t>
        </is>
      </c>
      <c r="D25" s="28" t="inlineStr">
        <is>
          <t>Chrome</t>
        </is>
      </c>
      <c r="E25" s="28" t="inlineStr">
        <is>
          <t>Pass</t>
        </is>
      </c>
      <c r="F25" s="28" t="inlineStr">
        <is>
          <t>520ms</t>
        </is>
      </c>
      <c r="G25" s="28" t="inlineStr">
        <is>
          <t>—</t>
        </is>
      </c>
      <c r="H25" s="31" t="inlineStr">
        <is>
          <t>evidence/api_response_account_details.json</t>
        </is>
      </c>
      <c r="I25" s="24" t="n"/>
      <c r="J25" s="24" t="n"/>
      <c r="K25" s="24" t="n"/>
      <c r="L25" s="24" t="n"/>
      <c r="M25" s="24" t="n"/>
      <c r="N25" s="24" t="n"/>
      <c r="O25" s="24" t="n"/>
      <c r="P25" s="24" t="n"/>
      <c r="Q25" s="24" t="n"/>
      <c r="R25" s="24" t="n"/>
      <c r="S25" s="24" t="n"/>
      <c r="T25" s="24" t="n"/>
      <c r="U25" s="24" t="n"/>
      <c r="V25" s="24" t="n"/>
    </row>
    <row r="26" ht="28.8" customHeight="1">
      <c r="A26" s="28" t="inlineStr">
        <is>
          <t>TC-API-03</t>
        </is>
      </c>
      <c r="B26" s="29" t="inlineStr">
        <is>
          <t>Verify Newly Created Account Exists in Customer Accounts List via GET API</t>
        </is>
      </c>
      <c r="C26" s="28" t="inlineStr">
        <is>
          <t>API</t>
        </is>
      </c>
      <c r="D26" s="28" t="inlineStr">
        <is>
          <t>Chrome</t>
        </is>
      </c>
      <c r="E26" s="28" t="inlineStr">
        <is>
          <t>Pass</t>
        </is>
      </c>
      <c r="F26" s="28" t="inlineStr">
        <is>
          <t>1.1s</t>
        </is>
      </c>
      <c r="G26" s="28" t="inlineStr">
        <is>
          <t>—</t>
        </is>
      </c>
      <c r="H26" s="31" t="inlineStr">
        <is>
          <t>evidence/api_response_create_account.json</t>
        </is>
      </c>
      <c r="I26" s="24" t="n"/>
      <c r="J26" s="24" t="n"/>
      <c r="K26" s="24" t="n"/>
      <c r="L26" s="24" t="n"/>
      <c r="M26" s="24" t="n"/>
      <c r="N26" s="24" t="n"/>
      <c r="O26" s="24" t="n"/>
      <c r="P26" s="24" t="n"/>
      <c r="Q26" s="24" t="n"/>
      <c r="R26" s="24" t="n"/>
      <c r="S26" s="24" t="n"/>
      <c r="T26" s="24" t="n"/>
      <c r="U26" s="24" t="n"/>
      <c r="V26" s="24" t="n"/>
    </row>
    <row r="27" ht="28.8" customHeight="1">
      <c r="A27" s="28" t="inlineStr">
        <is>
          <t>TC-API-04</t>
        </is>
      </c>
      <c r="B27" s="29" t="inlineStr">
        <is>
          <t>Execute Fund Transfer via REST API Endpoint</t>
        </is>
      </c>
      <c r="C27" s="28" t="inlineStr">
        <is>
          <t>API</t>
        </is>
      </c>
      <c r="D27" s="28" t="inlineStr">
        <is>
          <t>Chrome</t>
        </is>
      </c>
      <c r="E27" s="28" t="inlineStr">
        <is>
          <t>Pass</t>
        </is>
      </c>
      <c r="F27" s="28" t="inlineStr">
        <is>
          <t>1.2s</t>
        </is>
      </c>
      <c r="G27" s="28" t="inlineStr">
        <is>
          <t>—</t>
        </is>
      </c>
      <c r="H27" s="31" t="inlineStr">
        <is>
          <t>evidence/api_response_post_transfer.json</t>
        </is>
      </c>
      <c r="I27" s="24" t="n"/>
      <c r="J27" s="24" t="n"/>
      <c r="K27" s="24" t="n"/>
      <c r="L27" s="24" t="n"/>
      <c r="M27" s="24" t="n"/>
      <c r="N27" s="24" t="n"/>
      <c r="O27" s="24" t="n"/>
      <c r="P27" s="24" t="n"/>
      <c r="Q27" s="24" t="n"/>
      <c r="R27" s="24" t="n"/>
      <c r="S27" s="24" t="n"/>
      <c r="T27" s="24" t="n"/>
      <c r="U27" s="24" t="n"/>
      <c r="V27" s="24" t="n"/>
    </row>
    <row r="28" ht="28.8" customHeight="1">
      <c r="A28" s="28" t="inlineStr">
        <is>
          <t>TC-API-05</t>
        </is>
      </c>
      <c r="B28" s="29" t="inlineStr">
        <is>
          <t>Verify Source Account Balance Is Debited After API Transfer</t>
        </is>
      </c>
      <c r="C28" s="28" t="inlineStr">
        <is>
          <t>API</t>
        </is>
      </c>
      <c r="D28" s="28" t="inlineStr">
        <is>
          <t>Chrome</t>
        </is>
      </c>
      <c r="E28" s="28" t="inlineStr">
        <is>
          <t>Pass</t>
        </is>
      </c>
      <c r="F28" s="28" t="inlineStr">
        <is>
          <t>490ms</t>
        </is>
      </c>
      <c r="G28" s="28" t="inlineStr">
        <is>
          <t>—</t>
        </is>
      </c>
      <c r="H28" s="31" t="inlineStr">
        <is>
          <t>evidence/api_response_source_debit.json</t>
        </is>
      </c>
      <c r="I28" s="24" t="n"/>
      <c r="J28" s="24" t="n"/>
      <c r="K28" s="24" t="n"/>
      <c r="L28" s="24" t="n"/>
      <c r="M28" s="24" t="n"/>
      <c r="N28" s="24" t="n"/>
      <c r="O28" s="24" t="n"/>
      <c r="P28" s="24" t="n"/>
      <c r="Q28" s="24" t="n"/>
      <c r="R28" s="24" t="n"/>
      <c r="S28" s="24" t="n"/>
      <c r="T28" s="24" t="n"/>
      <c r="U28" s="24" t="n"/>
      <c r="V28" s="24" t="n"/>
    </row>
    <row r="29" ht="28.8" customHeight="1">
      <c r="A29" s="28" t="inlineStr">
        <is>
          <t>TC-API-06</t>
        </is>
      </c>
      <c r="B29" s="29" t="inlineStr">
        <is>
          <t>Verify Destination Account Balance Is Credited After API Transfer</t>
        </is>
      </c>
      <c r="C29" s="28" t="inlineStr">
        <is>
          <t>API</t>
        </is>
      </c>
      <c r="D29" s="28" t="inlineStr">
        <is>
          <t>Chrome</t>
        </is>
      </c>
      <c r="E29" s="28" t="inlineStr">
        <is>
          <t>Pass</t>
        </is>
      </c>
      <c r="F29" s="28" t="inlineStr">
        <is>
          <t>510ms</t>
        </is>
      </c>
      <c r="G29" s="28" t="inlineStr">
        <is>
          <t>—</t>
        </is>
      </c>
      <c r="H29" s="31" t="inlineStr">
        <is>
          <t>evidence/api_response_dest_credit.json</t>
        </is>
      </c>
      <c r="I29" s="24" t="n"/>
      <c r="J29" s="24" t="n"/>
      <c r="K29" s="24" t="n"/>
      <c r="L29" s="24" t="n"/>
      <c r="M29" s="24" t="n"/>
      <c r="N29" s="24" t="n"/>
      <c r="O29" s="24" t="n"/>
      <c r="P29" s="24" t="n"/>
      <c r="Q29" s="24" t="n"/>
      <c r="R29" s="24" t="n"/>
      <c r="S29" s="24" t="n"/>
      <c r="T29" s="24" t="n"/>
      <c r="U29" s="24" t="n"/>
      <c r="V29" s="24" t="n"/>
    </row>
    <row r="30" ht="28.8" customHeight="1">
      <c r="A30" s="28" t="inlineStr">
        <is>
          <t>TC-API-07</t>
        </is>
      </c>
      <c r="B30" s="29" t="inlineStr">
        <is>
          <t>Verify Transaction History Logs Debit Entry and Transaction Amount Consistency</t>
        </is>
      </c>
      <c r="C30" s="28" t="inlineStr">
        <is>
          <t>API</t>
        </is>
      </c>
      <c r="D30" s="28" t="inlineStr">
        <is>
          <t>Chrome</t>
        </is>
      </c>
      <c r="E30" s="28" t="inlineStr">
        <is>
          <t>Pass</t>
        </is>
      </c>
      <c r="F30" s="28" t="inlineStr">
        <is>
          <t>680ms</t>
        </is>
      </c>
      <c r="G30" s="28" t="inlineStr">
        <is>
          <t>—</t>
        </is>
      </c>
      <c r="H30" s="31" t="inlineStr">
        <is>
          <t>evidence/api_response_source_transactions.json</t>
        </is>
      </c>
      <c r="I30" s="24" t="n"/>
      <c r="J30" s="24" t="n"/>
      <c r="K30" s="24" t="n"/>
      <c r="L30" s="24" t="n"/>
      <c r="M30" s="24" t="n"/>
      <c r="N30" s="24" t="n"/>
      <c r="O30" s="24" t="n"/>
      <c r="P30" s="24" t="n"/>
      <c r="Q30" s="24" t="n"/>
      <c r="R30" s="24" t="n"/>
      <c r="S30" s="24" t="n"/>
      <c r="T30" s="24" t="n"/>
      <c r="U30" s="24" t="n"/>
      <c r="V30" s="24" t="n"/>
    </row>
    <row r="31" ht="28.8" customHeight="1">
      <c r="A31" s="28" t="inlineStr">
        <is>
          <t>TC-API-08</t>
        </is>
      </c>
      <c r="B31" s="29" t="inlineStr">
        <is>
          <t>Verify GET Account Details for Non-Existent Account ID Returns 404</t>
        </is>
      </c>
      <c r="C31" s="28" t="inlineStr">
        <is>
          <t>API</t>
        </is>
      </c>
      <c r="D31" s="28" t="inlineStr">
        <is>
          <t>Chrome</t>
        </is>
      </c>
      <c r="E31" s="28" t="inlineStr">
        <is>
          <t>Fail</t>
        </is>
      </c>
      <c r="F31" s="28" t="inlineStr">
        <is>
          <t>350ms</t>
        </is>
      </c>
      <c r="G31" s="28" t="inlineStr">
        <is>
          <t>BUG-001</t>
        </is>
      </c>
      <c r="H31" s="31" t="inlineStr">
        <is>
          <t>evidence/api_response_non_existent.json</t>
        </is>
      </c>
      <c r="I31" s="24" t="n"/>
      <c r="J31" s="24" t="n"/>
      <c r="K31" s="24" t="n"/>
      <c r="L31" s="24" t="n"/>
      <c r="M31" s="24" t="n"/>
      <c r="N31" s="24" t="n"/>
      <c r="O31" s="24" t="n"/>
      <c r="P31" s="24" t="n"/>
      <c r="Q31" s="24" t="n"/>
      <c r="R31" s="24" t="n"/>
      <c r="S31" s="24" t="n"/>
      <c r="T31" s="24" t="n"/>
      <c r="U31" s="24" t="n"/>
      <c r="V31" s="24" t="n"/>
    </row>
    <row r="32" ht="28.8" customHeight="1">
      <c r="A32" s="28" t="inlineStr">
        <is>
          <t>TC-API-09</t>
        </is>
      </c>
      <c r="B32" s="29" t="inlineStr">
        <is>
          <t>Verify POST Fund Transfer Fails for Insufficient Account Balance</t>
        </is>
      </c>
      <c r="C32" s="28" t="inlineStr">
        <is>
          <t>API</t>
        </is>
      </c>
      <c r="D32" s="28" t="inlineStr">
        <is>
          <t>Chrome</t>
        </is>
      </c>
      <c r="E32" s="28" t="inlineStr">
        <is>
          <t>Fail</t>
        </is>
      </c>
      <c r="F32" s="28" t="inlineStr">
        <is>
          <t>880ms</t>
        </is>
      </c>
      <c r="G32" s="28" t="inlineStr">
        <is>
          <t>BUG-004</t>
        </is>
      </c>
      <c r="H32" s="31" t="inlineStr">
        <is>
          <t>evidence/api_response_insufficient_funds.json</t>
        </is>
      </c>
      <c r="I32" s="24" t="n"/>
      <c r="J32" s="24" t="n"/>
      <c r="K32" s="24" t="n"/>
      <c r="L32" s="24" t="n"/>
      <c r="M32" s="24" t="n"/>
      <c r="N32" s="24" t="n"/>
      <c r="O32" s="24" t="n"/>
      <c r="P32" s="24" t="n"/>
      <c r="Q32" s="24" t="n"/>
      <c r="R32" s="24" t="n"/>
      <c r="S32" s="24" t="n"/>
      <c r="T32" s="24" t="n"/>
      <c r="U32" s="24" t="n"/>
      <c r="V32" s="24" t="n"/>
    </row>
    <row r="33" ht="28.8" customHeight="1">
      <c r="A33" s="28" t="inlineStr">
        <is>
          <t>TC-API-10</t>
        </is>
      </c>
      <c r="B33" s="29" t="inlineStr">
        <is>
          <t>Verify Transaction History Logs Credit Entry and Transaction Amount Consistency</t>
        </is>
      </c>
      <c r="C33" s="28" t="inlineStr">
        <is>
          <t>API</t>
        </is>
      </c>
      <c r="D33" s="28" t="inlineStr">
        <is>
          <t>Chrome</t>
        </is>
      </c>
      <c r="E33" s="28" t="inlineStr">
        <is>
          <t>Pass</t>
        </is>
      </c>
      <c r="F33" s="28" t="inlineStr">
        <is>
          <t>680ms</t>
        </is>
      </c>
      <c r="G33" s="28" t="inlineStr">
        <is>
          <t>—</t>
        </is>
      </c>
      <c r="H33" s="31" t="inlineStr">
        <is>
          <t>evidence/api_response_source_transactions.json</t>
        </is>
      </c>
      <c r="I33" s="24" t="n"/>
      <c r="J33" s="24" t="n"/>
      <c r="K33" s="24" t="n"/>
      <c r="L33" s="24" t="n"/>
      <c r="M33" s="24" t="n"/>
      <c r="N33" s="24" t="n"/>
      <c r="O33" s="24" t="n"/>
      <c r="P33" s="24" t="n"/>
      <c r="Q33" s="24" t="n"/>
      <c r="R33" s="24" t="n"/>
      <c r="S33" s="24" t="n"/>
      <c r="T33" s="24" t="n"/>
      <c r="U33" s="24" t="n"/>
      <c r="V33" s="24" t="n"/>
    </row>
    <row r="34" ht="28.8" customHeight="1">
      <c r="A34" s="28" t="inlineStr">
        <is>
          <t>TC-E2E-01</t>
        </is>
      </c>
      <c r="B34" s="29" t="inlineStr">
        <is>
          <t>End-to-End Account Provisioning, API Retrieval, and Attribute Verification Journey</t>
        </is>
      </c>
      <c r="C34" s="28" t="inlineStr">
        <is>
          <t>E2E</t>
        </is>
      </c>
      <c r="D34" s="28" t="inlineStr">
        <is>
          <t>Chrome</t>
        </is>
      </c>
      <c r="E34" s="28" t="inlineStr">
        <is>
          <t>Pass</t>
        </is>
      </c>
      <c r="F34" s="28" t="inlineStr">
        <is>
          <t>11.4s</t>
        </is>
      </c>
      <c r="G34" s="28" t="inlineStr">
        <is>
          <t>—</t>
        </is>
      </c>
      <c r="H34" s="31" t="inlineStr">
        <is>
          <t>evidence/screenshot_e2e_provisioning.png</t>
        </is>
      </c>
      <c r="I34" s="24" t="n"/>
      <c r="J34" s="24" t="n"/>
      <c r="K34" s="24" t="n"/>
      <c r="L34" s="24" t="n"/>
      <c r="M34" s="24" t="n"/>
      <c r="N34" s="24" t="n"/>
      <c r="O34" s="24" t="n"/>
      <c r="P34" s="24" t="n"/>
      <c r="Q34" s="24" t="n"/>
      <c r="R34" s="24" t="n"/>
      <c r="S34" s="24" t="n"/>
      <c r="T34" s="24" t="n"/>
      <c r="U34" s="24" t="n"/>
      <c r="V34" s="24" t="n"/>
    </row>
    <row r="35" ht="28.8" customHeight="1">
      <c r="A35" s="28" t="inlineStr">
        <is>
          <t>TC-E2E-02</t>
        </is>
      </c>
      <c r="B35" s="29" t="inlineStr">
        <is>
          <t>End-to-End Fund Transfer UI Execution and API Ledger Delta/Transaction Audit</t>
        </is>
      </c>
      <c r="C35" s="28" t="inlineStr">
        <is>
          <t>E2E</t>
        </is>
      </c>
      <c r="D35" s="28" t="inlineStr">
        <is>
          <t>Chrome</t>
        </is>
      </c>
      <c r="E35" s="28" t="inlineStr">
        <is>
          <t>Pass</t>
        </is>
      </c>
      <c r="F35" s="28" t="inlineStr">
        <is>
          <t>14.2s</t>
        </is>
      </c>
      <c r="G35" s="28" t="inlineStr">
        <is>
          <t>—</t>
        </is>
      </c>
      <c r="H35" s="31" t="inlineStr">
        <is>
          <t>evidence/screenshot_e2e_transfer.png</t>
        </is>
      </c>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mergeCells count="1">
    <mergeCell ref="A1:H1"/>
  </mergeCells>
  <hyperlinks>
    <hyperlink xmlns:r="http://schemas.openxmlformats.org/officeDocument/2006/relationships" ref="H14" r:id="rId1"/>
    <hyperlink xmlns:r="http://schemas.openxmlformats.org/officeDocument/2006/relationships" ref="H15" r:id="rId2"/>
    <hyperlink xmlns:r="http://schemas.openxmlformats.org/officeDocument/2006/relationships" ref="H16" r:id="rId3"/>
    <hyperlink xmlns:r="http://schemas.openxmlformats.org/officeDocument/2006/relationships" ref="H17" r:id="rId4"/>
    <hyperlink xmlns:r="http://schemas.openxmlformats.org/officeDocument/2006/relationships" ref="H18" r:id="rId5"/>
    <hyperlink xmlns:r="http://schemas.openxmlformats.org/officeDocument/2006/relationships" ref="H19" r:id="rId6"/>
    <hyperlink xmlns:r="http://schemas.openxmlformats.org/officeDocument/2006/relationships" ref="H20" r:id="rId7"/>
    <hyperlink xmlns:r="http://schemas.openxmlformats.org/officeDocument/2006/relationships" ref="H21" r:id="rId8"/>
    <hyperlink xmlns:r="http://schemas.openxmlformats.org/officeDocument/2006/relationships" ref="H22" r:id="rId9"/>
    <hyperlink xmlns:r="http://schemas.openxmlformats.org/officeDocument/2006/relationships" ref="H23" r:id="rId10"/>
    <hyperlink xmlns:r="http://schemas.openxmlformats.org/officeDocument/2006/relationships" ref="H24" r:id="rId11"/>
    <hyperlink xmlns:r="http://schemas.openxmlformats.org/officeDocument/2006/relationships" ref="H25" r:id="rId12"/>
    <hyperlink xmlns:r="http://schemas.openxmlformats.org/officeDocument/2006/relationships" ref="H26" r:id="rId13"/>
    <hyperlink xmlns:r="http://schemas.openxmlformats.org/officeDocument/2006/relationships" ref="H27" r:id="rId14"/>
    <hyperlink xmlns:r="http://schemas.openxmlformats.org/officeDocument/2006/relationships" ref="H28" r:id="rId15"/>
    <hyperlink xmlns:r="http://schemas.openxmlformats.org/officeDocument/2006/relationships" ref="H29" r:id="rId16"/>
    <hyperlink xmlns:r="http://schemas.openxmlformats.org/officeDocument/2006/relationships" ref="H30" r:id="rId17"/>
    <hyperlink xmlns:r="http://schemas.openxmlformats.org/officeDocument/2006/relationships" ref="H31" r:id="rId18"/>
    <hyperlink xmlns:r="http://schemas.openxmlformats.org/officeDocument/2006/relationships" ref="H32" r:id="rId19"/>
    <hyperlink xmlns:r="http://schemas.openxmlformats.org/officeDocument/2006/relationships" ref="H33" r:id="rId20"/>
    <hyperlink xmlns:r="http://schemas.openxmlformats.org/officeDocument/2006/relationships" ref="H34" r:id="rId21"/>
    <hyperlink xmlns:r="http://schemas.openxmlformats.org/officeDocument/2006/relationships" ref="H35" r:id="rId22"/>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V59"/>
  <sheetViews>
    <sheetView topLeftCell="B1" zoomScale="69" workbookViewId="0">
      <selection activeCell="D6" sqref="D6"/>
    </sheetView>
  </sheetViews>
  <sheetFormatPr baseColWidth="8" defaultRowHeight="14.4"/>
  <cols>
    <col width="12" customWidth="1" min="1" max="1"/>
    <col width="23" customWidth="1" min="2" max="2"/>
    <col width="17" customWidth="1" min="3" max="3"/>
    <col width="35" customWidth="1" min="4" max="4"/>
    <col width="45" customWidth="1" min="5" max="7"/>
    <col width="11" customWidth="1" min="8" max="8"/>
    <col width="10" customWidth="1" min="9" max="10"/>
    <col width="35" customWidth="1" min="11" max="11"/>
  </cols>
  <sheetData>
    <row r="1">
      <c r="A1" s="27" t="inlineStr">
        <is>
          <t>Defect ID</t>
        </is>
      </c>
      <c r="B1" s="27" t="inlineStr">
        <is>
          <t>Related Test Case ID</t>
        </is>
      </c>
      <c r="C1" s="27" t="inlineStr">
        <is>
          <t>Requirement ID</t>
        </is>
      </c>
      <c r="D1" s="27" t="inlineStr">
        <is>
          <t>Defect Summary</t>
        </is>
      </c>
      <c r="E1" s="27" t="inlineStr">
        <is>
          <t>Steps to Reproduce</t>
        </is>
      </c>
      <c r="F1" s="27" t="inlineStr">
        <is>
          <t>Expected Result</t>
        </is>
      </c>
      <c r="G1" s="27" t="inlineStr">
        <is>
          <t>Actual Result</t>
        </is>
      </c>
      <c r="H1" s="27" t="inlineStr">
        <is>
          <t>Severity</t>
        </is>
      </c>
      <c r="I1" s="27" t="inlineStr">
        <is>
          <t>Priority</t>
        </is>
      </c>
      <c r="J1" s="27" t="inlineStr">
        <is>
          <t>Status</t>
        </is>
      </c>
      <c r="K1" s="27" t="inlineStr">
        <is>
          <t>Evidence</t>
        </is>
      </c>
      <c r="L1" s="24" t="n"/>
      <c r="M1" s="24" t="n"/>
      <c r="N1" s="24" t="n"/>
      <c r="O1" s="24" t="n"/>
      <c r="P1" s="24" t="n"/>
      <c r="Q1" s="24" t="n"/>
      <c r="R1" s="24" t="n"/>
      <c r="S1" s="24" t="n"/>
      <c r="T1" s="24" t="n"/>
      <c r="U1" s="24" t="n"/>
      <c r="V1" s="24" t="n"/>
    </row>
    <row r="2" ht="43.2" customHeight="1">
      <c r="A2" s="28" t="inlineStr">
        <is>
          <t>BUG-001</t>
        </is>
      </c>
      <c r="B2" s="28" t="inlineStr">
        <is>
          <t>TC-API-08</t>
        </is>
      </c>
      <c r="C2" s="28" t="inlineStr">
        <is>
          <t>FR-09</t>
        </is>
      </c>
      <c r="D2" s="29" t="inlineStr">
        <is>
          <t>GET /accounts/{accountId} does not return expected 404 status code for non-existent account ID</t>
        </is>
      </c>
      <c r="E2" s="29" t="inlineStr">
        <is>
          <t>1. Send GET /accounts/999999 via REST API Client.
2. Verify the HTTP status code of the response.</t>
        </is>
      </c>
      <c r="F2" s="29" t="inlineStr">
        <is>
          <t>API returns HTTP 404 Not Found with a JSON payload indicating that the account was not found.</t>
        </is>
      </c>
      <c r="G2" s="29" t="inlineStr">
        <is>
          <t>API returns HTTP 200 OK with an empty body or 500 error, violating REST design guidelines.</t>
        </is>
      </c>
      <c r="H2" s="28" t="inlineStr">
        <is>
          <t>Medium</t>
        </is>
      </c>
      <c r="I2" s="28" t="inlineStr">
        <is>
          <t>Medium</t>
        </is>
      </c>
      <c r="J2" s="28" t="inlineStr">
        <is>
          <t>Open</t>
        </is>
      </c>
      <c r="K2" s="31" t="inlineStr">
        <is>
          <t>evidence/api_response_non_existent.json</t>
        </is>
      </c>
      <c r="L2" s="24" t="n"/>
      <c r="M2" s="24" t="n"/>
      <c r="N2" s="24" t="n"/>
      <c r="O2" s="24" t="n"/>
      <c r="P2" s="24" t="n"/>
      <c r="Q2" s="24" t="n"/>
      <c r="R2" s="24" t="n"/>
      <c r="S2" s="24" t="n"/>
      <c r="T2" s="24" t="n"/>
      <c r="U2" s="24" t="n"/>
      <c r="V2" s="24" t="n"/>
    </row>
    <row r="3" ht="72" customHeight="1">
      <c r="A3" s="28" t="inlineStr">
        <is>
          <t>BUG-002</t>
        </is>
      </c>
      <c r="B3" s="28" t="inlineStr">
        <is>
          <t>TC-TX-UI-05</t>
        </is>
      </c>
      <c r="C3" s="28" t="inlineStr">
        <is>
          <t>FR-09</t>
        </is>
      </c>
      <c r="D3" s="29" t="inlineStr">
        <is>
          <t>UI allows fund transfer exceeding available balance without showing warning or blocking transaction</t>
        </is>
      </c>
      <c r="E3" s="29" t="inlineStr">
        <is>
          <t>1. Log into the ParaBank online web interface.
2. Navigate to 'Transfer Funds' screen.
3. Enter an amount exceeding the available balance (e.g. $500 when balance is $50).
4. Click 'Transfer'.</t>
        </is>
      </c>
      <c r="F3" s="29" t="inlineStr">
        <is>
          <t>The transfer is blocked; the UI displays a validation message stating that the source account has insufficient funds.</t>
        </is>
      </c>
      <c r="G3" s="29" t="inlineStr">
        <is>
          <t>The transaction is processed successfully and displays 'Transfer Complete!', resulting in an unauthorized overdraft.</t>
        </is>
      </c>
      <c r="H3" s="28" t="inlineStr">
        <is>
          <t>High</t>
        </is>
      </c>
      <c r="I3" s="28" t="inlineStr">
        <is>
          <t>High</t>
        </is>
      </c>
      <c r="J3" s="28" t="inlineStr">
        <is>
          <t>Open</t>
        </is>
      </c>
      <c r="K3" s="31" t="inlineStr">
        <is>
          <t>evidence/screenshot_overdraft_transfer_allowed.png</t>
        </is>
      </c>
      <c r="L3" s="24" t="n"/>
      <c r="M3" s="24" t="n"/>
      <c r="N3" s="24" t="n"/>
      <c r="O3" s="24" t="n"/>
      <c r="P3" s="24" t="n"/>
      <c r="Q3" s="24" t="n"/>
      <c r="R3" s="24" t="n"/>
      <c r="S3" s="24" t="n"/>
      <c r="T3" s="24" t="n"/>
      <c r="U3" s="24" t="n"/>
      <c r="V3" s="24" t="n"/>
    </row>
    <row r="4" ht="57.6" customHeight="1">
      <c r="A4" s="28" t="inlineStr">
        <is>
          <t>BUG-003</t>
        </is>
      </c>
      <c r="B4" s="28" t="inlineStr">
        <is>
          <t>TC-TX-UI-03</t>
        </is>
      </c>
      <c r="C4" s="28" t="inlineStr">
        <is>
          <t>FR-09</t>
        </is>
      </c>
      <c r="D4" s="29" t="inlineStr">
        <is>
          <t>UI Transfer Funds form does not validate or reject blank transfer amounts</t>
        </is>
      </c>
      <c r="E4" s="29" t="inlineStr">
        <is>
          <t>1. Navigate to the UI Transfer Funds screen.
2. Leave the amount field blank.
3. Select accounts and click 'Transfer'.</t>
        </is>
      </c>
      <c r="F4" s="29" t="inlineStr">
        <is>
          <t>The UI displays an inline validation error and blocks form submission.</t>
        </is>
      </c>
      <c r="G4" s="29" t="inlineStr">
        <is>
          <t>The transaction is submitted, showing success confirmation. The ledger records a transfer of $0.00.</t>
        </is>
      </c>
      <c r="H4" s="28" t="inlineStr">
        <is>
          <t>Medium</t>
        </is>
      </c>
      <c r="I4" s="28" t="inlineStr">
        <is>
          <t>Medium</t>
        </is>
      </c>
      <c r="J4" s="28" t="inlineStr">
        <is>
          <t>Open</t>
        </is>
      </c>
      <c r="K4" s="31" t="inlineStr">
        <is>
          <t>evidence/screenshot_empty_transfer_warning.png</t>
        </is>
      </c>
      <c r="L4" s="24" t="n"/>
      <c r="M4" s="24" t="n"/>
      <c r="N4" s="24" t="n"/>
      <c r="O4" s="24" t="n"/>
      <c r="P4" s="24" t="n"/>
      <c r="Q4" s="24" t="n"/>
      <c r="R4" s="24" t="n"/>
      <c r="S4" s="24" t="n"/>
      <c r="T4" s="24" t="n"/>
      <c r="U4" s="24" t="n"/>
      <c r="V4" s="24" t="n"/>
    </row>
    <row r="5" ht="57.6" customHeight="1">
      <c r="A5" s="28" t="inlineStr">
        <is>
          <t>BUG-004</t>
        </is>
      </c>
      <c r="B5" s="28" t="inlineStr">
        <is>
          <t>TC-API-09</t>
        </is>
      </c>
      <c r="C5" s="28" t="inlineStr">
        <is>
          <t>FR-09</t>
        </is>
      </c>
      <c r="D5" s="29" t="inlineStr">
        <is>
          <t>POST /transfer does not reject overdraft transfers or invalid source account IDs with HTTP 400</t>
        </is>
      </c>
      <c r="E5" s="29" t="inlineStr">
        <is>
          <t>1. Send POST /transfer?fromAccountId=999999&amp;toAccountId=12345&amp;amount=100 via API client.
2. Observe response code and balance changes.</t>
        </is>
      </c>
      <c r="F5" s="29" t="inlineStr">
        <is>
          <t>API returns HTTP 400 Bad Request and blocks the transaction.</t>
        </is>
      </c>
      <c r="G5" s="29" t="inlineStr">
        <is>
          <t>API returns HTTP 200 OK and allows the transaction, creating negative account balances in database.</t>
        </is>
      </c>
      <c r="H5" s="28" t="inlineStr">
        <is>
          <t>High</t>
        </is>
      </c>
      <c r="I5" s="28" t="inlineStr">
        <is>
          <t>High</t>
        </is>
      </c>
      <c r="J5" s="28" t="inlineStr">
        <is>
          <t>Open</t>
        </is>
      </c>
      <c r="K5" s="31" t="inlineStr">
        <is>
          <t>evidence/api_response_insufficient_funds.json</t>
        </is>
      </c>
      <c r="L5" s="24" t="n"/>
      <c r="M5" s="24" t="n"/>
      <c r="N5" s="24" t="n"/>
      <c r="O5" s="24" t="n"/>
      <c r="P5" s="24" t="n"/>
      <c r="Q5" s="24" t="n"/>
      <c r="R5" s="24" t="n"/>
      <c r="S5" s="24" t="n"/>
      <c r="T5" s="24" t="n"/>
      <c r="U5" s="24" t="n"/>
      <c r="V5" s="24" t="n"/>
    </row>
    <row r="6" ht="57.6" customHeight="1">
      <c r="A6" s="28" t="inlineStr">
        <is>
          <t>BUG-006</t>
        </is>
      </c>
      <c r="B6" s="28" t="inlineStr">
        <is>
          <t>TC-TX-UI-04</t>
        </is>
      </c>
      <c r="C6" s="28" t="inlineStr">
        <is>
          <t>FR-09</t>
        </is>
      </c>
      <c r="D6" s="29" t="inlineStr">
        <is>
          <t>UI Transfer Funds form does not validate or reject alphabetic characters in transfer amount field</t>
        </is>
      </c>
      <c r="E6" s="29" t="inlineStr">
        <is>
          <t>1. Navigate to the UI Transfer Funds screen.
2. Enter alphabetic characters 'abc' in the amount field.
3. Click 'Transfer'.</t>
        </is>
      </c>
      <c r="F6" s="29" t="inlineStr">
        <is>
          <t>The UI blocks the transfer and displays a validation error message.</t>
        </is>
      </c>
      <c r="G6" s="29" t="inlineStr">
        <is>
          <t>The transfer is submitted successfully, resulting in a transaction of $0.00 in the transaction ledger.</t>
        </is>
      </c>
      <c r="H6" s="28" t="inlineStr">
        <is>
          <t>Medium</t>
        </is>
      </c>
      <c r="I6" s="28" t="inlineStr">
        <is>
          <t>Medium</t>
        </is>
      </c>
      <c r="J6" s="28" t="inlineStr">
        <is>
          <t>Open</t>
        </is>
      </c>
      <c r="K6" s="31" t="inlineStr">
        <is>
          <t>evidence/screenshot_alpha_transfer_warning.png</t>
        </is>
      </c>
      <c r="L6" s="24" t="n"/>
      <c r="M6" s="24" t="n"/>
      <c r="N6" s="24" t="n"/>
      <c r="O6" s="24" t="n"/>
      <c r="P6" s="24" t="n"/>
      <c r="Q6" s="24" t="n"/>
      <c r="R6" s="24" t="n"/>
      <c r="S6" s="24" t="n"/>
      <c r="T6" s="24" t="n"/>
      <c r="U6" s="24" t="n"/>
      <c r="V6" s="24" t="n"/>
    </row>
    <row r="7">
      <c r="A7" s="24" t="n"/>
      <c r="B7" s="24" t="n"/>
      <c r="C7" s="24" t="n"/>
      <c r="D7" s="24" t="n"/>
      <c r="E7" s="24" t="n"/>
      <c r="F7" s="24" t="n"/>
      <c r="G7" s="24" t="n"/>
      <c r="H7" s="24" t="n"/>
      <c r="I7" s="24" t="n"/>
      <c r="J7" s="24" t="n"/>
      <c r="K7" s="24" t="n"/>
      <c r="L7" s="24" t="n"/>
      <c r="M7" s="24" t="n"/>
      <c r="N7" s="24" t="n"/>
      <c r="O7" s="24" t="n"/>
      <c r="P7" s="24" t="n"/>
      <c r="Q7" s="24" t="n"/>
      <c r="R7" s="24" t="n"/>
      <c r="S7" s="24" t="n"/>
      <c r="T7" s="24" t="n"/>
      <c r="U7" s="24" t="n"/>
      <c r="V7" s="24" t="n"/>
    </row>
    <row r="8">
      <c r="A8" s="24" t="n"/>
      <c r="B8" s="24" t="n"/>
      <c r="C8" s="24" t="n"/>
      <c r="D8" s="24" t="n"/>
      <c r="E8" s="24" t="n"/>
      <c r="F8" s="24" t="n"/>
      <c r="G8" s="24" t="n"/>
      <c r="H8" s="24" t="n"/>
      <c r="I8" s="24" t="n"/>
      <c r="J8" s="24" t="n"/>
      <c r="K8" s="24" t="n"/>
      <c r="L8" s="24" t="n"/>
      <c r="M8" s="24" t="n"/>
      <c r="N8" s="24" t="n"/>
      <c r="O8" s="24" t="n"/>
      <c r="P8" s="24" t="n"/>
      <c r="Q8" s="24" t="n"/>
      <c r="R8" s="24" t="n"/>
      <c r="S8" s="24" t="n"/>
      <c r="T8" s="24" t="n"/>
      <c r="U8" s="24" t="n"/>
      <c r="V8" s="24" t="n"/>
    </row>
    <row r="9">
      <c r="A9" s="24" t="n"/>
      <c r="B9" s="24" t="n"/>
      <c r="C9" s="24" t="n"/>
      <c r="D9" s="24" t="n"/>
      <c r="E9" s="24" t="n"/>
      <c r="F9" s="24" t="n"/>
      <c r="G9" s="24" t="n"/>
      <c r="H9" s="24" t="n"/>
      <c r="I9" s="24" t="n"/>
      <c r="J9" s="24" t="n"/>
      <c r="K9" s="24" t="n"/>
      <c r="L9" s="24" t="n"/>
      <c r="M9" s="24" t="n"/>
      <c r="N9" s="24" t="n"/>
      <c r="O9" s="24" t="n"/>
      <c r="P9" s="24" t="n"/>
      <c r="Q9" s="24" t="n"/>
      <c r="R9" s="24" t="n"/>
      <c r="S9" s="24" t="n"/>
      <c r="T9" s="24" t="n"/>
      <c r="U9" s="24" t="n"/>
      <c r="V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c r="A11" s="24"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c r="A14" s="24" t="n"/>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sheetData>
  <hyperlinks>
    <hyperlink xmlns:r="http://schemas.openxmlformats.org/officeDocument/2006/relationships" ref="K2" r:id="rId1"/>
    <hyperlink xmlns:r="http://schemas.openxmlformats.org/officeDocument/2006/relationships" ref="K3" r:id="rId2"/>
    <hyperlink xmlns:r="http://schemas.openxmlformats.org/officeDocument/2006/relationships" ref="K4" r:id="rId3"/>
    <hyperlink xmlns:r="http://schemas.openxmlformats.org/officeDocument/2006/relationships" ref="K5" r:id="rId4"/>
    <hyperlink xmlns:r="http://schemas.openxmlformats.org/officeDocument/2006/relationships" ref="K6" r:id="rId5"/>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V60"/>
  <sheetViews>
    <sheetView workbookViewId="0">
      <selection activeCell="A1" sqref="A1"/>
    </sheetView>
  </sheetViews>
  <sheetFormatPr baseColWidth="8" defaultRowHeight="14.4"/>
  <cols>
    <col width="25" customWidth="1" min="1" max="1"/>
    <col width="45" customWidth="1" min="2" max="2"/>
    <col width="65" customWidth="1" min="3" max="4"/>
  </cols>
  <sheetData>
    <row r="1">
      <c r="A1" s="27" t="inlineStr">
        <is>
          <t>Type</t>
        </is>
      </c>
      <c r="B1" s="27" t="inlineStr">
        <is>
          <t>Title / Area</t>
        </is>
      </c>
      <c r="C1" s="27" t="inlineStr">
        <is>
          <t>Description</t>
        </is>
      </c>
      <c r="D1" s="27" t="inlineStr">
        <is>
          <t>Impact / Mitigation Strategy</t>
        </is>
      </c>
      <c r="E1" s="24" t="n"/>
      <c r="F1" s="24" t="n"/>
      <c r="G1" s="24" t="n"/>
      <c r="H1" s="24" t="n"/>
      <c r="I1" s="24" t="n"/>
      <c r="J1" s="24" t="n"/>
      <c r="K1" s="24" t="n"/>
      <c r="L1" s="24" t="n"/>
      <c r="M1" s="24" t="n"/>
      <c r="N1" s="24" t="n"/>
      <c r="O1" s="24" t="n"/>
      <c r="P1" s="24" t="n"/>
      <c r="Q1" s="24" t="n"/>
      <c r="R1" s="24" t="n"/>
      <c r="S1" s="24" t="n"/>
      <c r="T1" s="24" t="n"/>
      <c r="U1" s="24" t="n"/>
      <c r="V1" s="24" t="n"/>
    </row>
    <row r="2" ht="28.8" customHeight="1">
      <c r="A2" s="32" t="inlineStr">
        <is>
          <t>Assumption</t>
        </is>
      </c>
      <c r="B2" s="32" t="inlineStr">
        <is>
          <t>Funding Account Baseline</t>
        </is>
      </c>
      <c r="C2" s="26" t="inlineStr">
        <is>
          <t>It is assumed that the database has at least one pre-registered account with positive balance for user john/demo to serve as the initial funding source.</t>
        </is>
      </c>
      <c r="D2" s="26" t="inlineStr">
        <is>
          <t>Baseline data is required for account creation and transfers. Mitigation: Ensure test configuration contains valid active account IDs.</t>
        </is>
      </c>
      <c r="E2" s="24" t="n"/>
      <c r="F2" s="24" t="n"/>
      <c r="G2" s="24" t="n"/>
      <c r="H2" s="24" t="n"/>
      <c r="I2" s="24" t="n"/>
      <c r="J2" s="24" t="n"/>
      <c r="K2" s="24" t="n"/>
      <c r="L2" s="24" t="n"/>
      <c r="M2" s="24" t="n"/>
      <c r="N2" s="24" t="n"/>
      <c r="O2" s="24" t="n"/>
      <c r="P2" s="24" t="n"/>
      <c r="Q2" s="24" t="n"/>
      <c r="R2" s="24" t="n"/>
      <c r="S2" s="24" t="n"/>
      <c r="T2" s="24" t="n"/>
      <c r="U2" s="24" t="n"/>
      <c r="V2" s="24" t="n"/>
    </row>
    <row r="3" ht="28.8" customHeight="1">
      <c r="A3" s="32" t="inlineStr">
        <is>
          <t>Risk</t>
        </is>
      </c>
      <c r="B3" s="32" t="inlineStr">
        <is>
          <t>Data Mutability in Demo Env</t>
        </is>
      </c>
      <c r="C3" s="26" t="inlineStr">
        <is>
          <t>Simultaneous automated runs may modify shared account records, causing balance delta validation failures.</t>
        </is>
      </c>
      <c r="D3" s="26" t="inlineStr">
        <is>
          <t>High impact on tests reliability. Mitigation: Run tests sequentially or use dynamic user registration before suite setup.</t>
        </is>
      </c>
      <c r="E3" s="24" t="n"/>
      <c r="F3" s="24" t="n"/>
      <c r="G3" s="24" t="n"/>
      <c r="H3" s="24" t="n"/>
      <c r="I3" s="24" t="n"/>
      <c r="J3" s="24" t="n"/>
      <c r="K3" s="24" t="n"/>
      <c r="L3" s="24" t="n"/>
      <c r="M3" s="24" t="n"/>
      <c r="N3" s="24" t="n"/>
      <c r="O3" s="24" t="n"/>
      <c r="P3" s="24" t="n"/>
      <c r="Q3" s="24" t="n"/>
      <c r="R3" s="24" t="n"/>
      <c r="S3" s="24" t="n"/>
      <c r="T3" s="24" t="n"/>
      <c r="U3" s="24" t="n"/>
      <c r="V3" s="24" t="n"/>
    </row>
    <row r="4" ht="28.8" customHeight="1">
      <c r="A4" s="32" t="inlineStr">
        <is>
          <t>Risk</t>
        </is>
      </c>
      <c r="B4" s="32" t="inlineStr">
        <is>
          <t>Database Refresh Cycle</t>
        </is>
      </c>
      <c r="C4" s="26" t="inlineStr">
        <is>
          <t>ParaBank's demo environment resets periodically, which will delete newly created accounts.</t>
        </is>
      </c>
      <c r="D4" s="26" t="inlineStr">
        <is>
          <t>Medium impact. Mitigation: Implement pre-run setup scripts that verify or register temporary users dynamically.</t>
        </is>
      </c>
      <c r="E4" s="24" t="n"/>
      <c r="F4" s="24" t="n"/>
      <c r="G4" s="24" t="n"/>
      <c r="H4" s="24" t="n"/>
      <c r="I4" s="24" t="n"/>
      <c r="J4" s="24" t="n"/>
      <c r="K4" s="24" t="n"/>
      <c r="L4" s="24" t="n"/>
      <c r="M4" s="24" t="n"/>
      <c r="N4" s="24" t="n"/>
      <c r="O4" s="24" t="n"/>
      <c r="P4" s="24" t="n"/>
      <c r="Q4" s="24" t="n"/>
      <c r="R4" s="24" t="n"/>
      <c r="S4" s="24" t="n"/>
      <c r="T4" s="24" t="n"/>
      <c r="U4" s="24" t="n"/>
      <c r="V4" s="24" t="n"/>
    </row>
    <row r="5" ht="28.8" customHeight="1">
      <c r="A5" s="32" t="inlineStr">
        <is>
          <t>High-Risk Module</t>
        </is>
      </c>
      <c r="B5" s="32" t="inlineStr">
        <is>
          <t>Fund Transfer Engine</t>
        </is>
      </c>
      <c r="C5" s="26" t="inlineStr">
        <is>
          <t>The fund transfer page contains several validation gaps (allowing negative amounts, zero amounts, and overdrafts without block/error).</t>
        </is>
      </c>
      <c r="D5" s="26" t="inlineStr">
        <is>
          <t>High Risk. Mitigation: Prioritize automated regression validation of balance limits and boundary inputs.</t>
        </is>
      </c>
      <c r="E5" s="24" t="n"/>
      <c r="F5" s="24" t="n"/>
      <c r="G5" s="24" t="n"/>
      <c r="H5" s="24" t="n"/>
      <c r="I5" s="24" t="n"/>
      <c r="J5" s="24" t="n"/>
      <c r="K5" s="24" t="n"/>
      <c r="L5" s="24" t="n"/>
      <c r="M5" s="24" t="n"/>
      <c r="N5" s="24" t="n"/>
      <c r="O5" s="24" t="n"/>
      <c r="P5" s="24" t="n"/>
      <c r="Q5" s="24" t="n"/>
      <c r="R5" s="24" t="n"/>
      <c r="S5" s="24" t="n"/>
      <c r="T5" s="24" t="n"/>
      <c r="U5" s="24" t="n"/>
      <c r="V5" s="24" t="n"/>
    </row>
    <row r="6" ht="28.8" customHeight="1">
      <c r="A6" s="32" t="inlineStr">
        <is>
          <t>High-Risk Module</t>
        </is>
      </c>
      <c r="B6" s="32" t="inlineStr">
        <is>
          <t>REST API Error Handler</t>
        </is>
      </c>
      <c r="C6" s="26" t="inlineStr">
        <is>
          <t>API endpoints return 200 OK with empty response or internal server errors (500) for invalid IDs instead of correct 404/400 codes.</t>
        </is>
      </c>
      <c r="D6" s="26" t="inlineStr">
        <is>
          <t>High Risk. Mitigation: Verify specific error schemas and status codes in API assertions.</t>
        </is>
      </c>
      <c r="E6" s="24" t="n"/>
      <c r="F6" s="24" t="n"/>
      <c r="G6" s="24" t="n"/>
      <c r="H6" s="24" t="n"/>
      <c r="I6" s="24" t="n"/>
      <c r="J6" s="24" t="n"/>
      <c r="K6" s="24" t="n"/>
      <c r="L6" s="24" t="n"/>
      <c r="M6" s="24" t="n"/>
      <c r="N6" s="24" t="n"/>
      <c r="O6" s="24" t="n"/>
      <c r="P6" s="24" t="n"/>
      <c r="Q6" s="24" t="n"/>
      <c r="R6" s="24" t="n"/>
      <c r="S6" s="24" t="n"/>
      <c r="T6" s="24" t="n"/>
      <c r="U6" s="24" t="n"/>
      <c r="V6" s="24" t="n"/>
    </row>
    <row r="7" ht="28.8" customHeight="1">
      <c r="A7" s="32" t="inlineStr">
        <is>
          <t>Recommended Negative Test</t>
        </is>
      </c>
      <c r="B7" s="32" t="inlineStr">
        <is>
          <t>UI Form Boundary Limits</t>
        </is>
      </c>
      <c r="C7" s="26" t="inlineStr">
        <is>
          <t>Validate field character length limits and special character inputs on the Open Account and Transfer fields.</t>
        </is>
      </c>
      <c r="D7" s="26" t="inlineStr">
        <is>
          <t>Confirm that the UI prevents database pollution or buffer overflows.</t>
        </is>
      </c>
      <c r="E7" s="24" t="n"/>
      <c r="F7" s="24" t="n"/>
      <c r="G7" s="24" t="n"/>
      <c r="H7" s="24" t="n"/>
      <c r="I7" s="24" t="n"/>
      <c r="J7" s="24" t="n"/>
      <c r="K7" s="24" t="n"/>
      <c r="L7" s="24" t="n"/>
      <c r="M7" s="24" t="n"/>
      <c r="N7" s="24" t="n"/>
      <c r="O7" s="24" t="n"/>
      <c r="P7" s="24" t="n"/>
      <c r="Q7" s="24" t="n"/>
      <c r="R7" s="24" t="n"/>
      <c r="S7" s="24" t="n"/>
      <c r="T7" s="24" t="n"/>
      <c r="U7" s="24" t="n"/>
      <c r="V7" s="24" t="n"/>
    </row>
    <row r="8" ht="28.8" customHeight="1">
      <c r="A8" s="32" t="inlineStr">
        <is>
          <t>Recommended Negative Test</t>
        </is>
      </c>
      <c r="B8" s="32" t="inlineStr">
        <is>
          <t>API SQL Injection &amp; Auth</t>
        </is>
      </c>
      <c r="C8" s="26" t="inlineStr">
        <is>
          <t>Attempt to query accounts list with SQL wildcards or bypass basic auth headers.</t>
        </is>
      </c>
      <c r="D8" s="26" t="inlineStr">
        <is>
          <t>Ensure that the security boundary of the API gateway is maintained.</t>
        </is>
      </c>
      <c r="E8" s="24" t="n"/>
      <c r="F8" s="24" t="n"/>
      <c r="G8" s="24" t="n"/>
      <c r="H8" s="24" t="n"/>
      <c r="I8" s="24" t="n"/>
      <c r="J8" s="24" t="n"/>
      <c r="K8" s="24" t="n"/>
      <c r="L8" s="24" t="n"/>
      <c r="M8" s="24" t="n"/>
      <c r="N8" s="24" t="n"/>
      <c r="O8" s="24" t="n"/>
      <c r="P8" s="24" t="n"/>
      <c r="Q8" s="24" t="n"/>
      <c r="R8" s="24" t="n"/>
      <c r="S8" s="24" t="n"/>
      <c r="T8" s="24" t="n"/>
      <c r="U8" s="24" t="n"/>
      <c r="V8" s="24" t="n"/>
    </row>
    <row r="9">
      <c r="A9" s="24" t="n"/>
      <c r="B9" s="24" t="n"/>
      <c r="C9" s="24" t="n"/>
      <c r="D9" s="24" t="n"/>
      <c r="E9" s="24" t="n"/>
      <c r="F9" s="24" t="n"/>
      <c r="G9" s="24" t="n"/>
      <c r="H9" s="24" t="n"/>
      <c r="I9" s="24" t="n"/>
      <c r="J9" s="24" t="n"/>
      <c r="K9" s="24" t="n"/>
      <c r="L9" s="24" t="n"/>
      <c r="M9" s="24" t="n"/>
      <c r="N9" s="24" t="n"/>
      <c r="O9" s="24" t="n"/>
      <c r="P9" s="24" t="n"/>
      <c r="Q9" s="24" t="n"/>
      <c r="R9" s="24" t="n"/>
      <c r="S9" s="24" t="n"/>
      <c r="T9" s="24" t="n"/>
      <c r="U9" s="24" t="n"/>
      <c r="V9" s="24" t="n"/>
    </row>
    <row r="10">
      <c r="A10" s="24" t="n"/>
      <c r="B10" s="24" t="n"/>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c r="A11" s="24"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24" t="n"/>
      <c r="B12" s="24" t="n"/>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24" t="n"/>
      <c r="B13" s="24" t="n"/>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c r="A14" s="24" t="n"/>
      <c r="B14" s="24" t="n"/>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24" t="n"/>
      <c r="B16" s="2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24" t="n"/>
      <c r="B17" s="24" t="n"/>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24"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24" t="n"/>
      <c r="B19" s="24" t="n"/>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24" t="n"/>
      <c r="B21" s="2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c r="A22" s="24" t="n"/>
      <c r="B22" s="24" t="n"/>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24" t="n"/>
      <c r="B24" s="2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24" t="n"/>
      <c r="B25" s="24" t="n"/>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24" t="n"/>
      <c r="B26" s="24" t="n"/>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24" t="n"/>
      <c r="B27" s="24" t="n"/>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24" t="n"/>
      <c r="B28" s="24" t="n"/>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24" t="n"/>
      <c r="B29" s="24" t="n"/>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24" t="n"/>
      <c r="B31" s="2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24" t="n"/>
      <c r="B32" s="24" t="n"/>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24" t="n"/>
      <c r="B33" s="24" t="n"/>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24" t="n"/>
      <c r="B34" s="24" t="n"/>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24" t="n"/>
      <c r="B35" s="24" t="n"/>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24" t="n"/>
      <c r="B36" s="24" t="n"/>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24" t="n"/>
      <c r="B37" s="24" t="n"/>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24" t="n"/>
      <c r="B38" s="24" t="n"/>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24" t="n"/>
      <c r="B40" s="2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24" t="n"/>
      <c r="B41" s="24" t="n"/>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24" t="n"/>
      <c r="B42" s="24" t="n"/>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24" t="n"/>
      <c r="B44" s="2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4" t="n"/>
      <c r="B45" s="2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V60"/>
  <sheetViews>
    <sheetView topLeftCell="A22" workbookViewId="0">
      <selection activeCell="A45" sqref="A45:B45"/>
    </sheetView>
  </sheetViews>
  <sheetFormatPr baseColWidth="8" defaultRowHeight="14.4"/>
  <cols>
    <col width="28" customWidth="1" min="1" max="1"/>
    <col width="80" customWidth="1" min="2" max="2"/>
  </cols>
  <sheetData>
    <row r="1">
      <c r="A1" s="33" t="inlineStr">
        <is>
          <t>FINAL TEST SUMMARY REPORT - ParaBank Capstone (Robot Framework)</t>
        </is>
      </c>
      <c r="B1" s="34" t="n"/>
      <c r="C1" s="24" t="n"/>
      <c r="D1" s="24" t="n"/>
      <c r="E1" s="24" t="n"/>
      <c r="F1" s="24" t="n"/>
      <c r="G1" s="24" t="n"/>
      <c r="H1" s="24" t="n"/>
      <c r="I1" s="24" t="n"/>
      <c r="J1" s="24" t="n"/>
      <c r="K1" s="24" t="n"/>
      <c r="L1" s="24" t="n"/>
      <c r="M1" s="24" t="n"/>
      <c r="N1" s="24" t="n"/>
      <c r="O1" s="24" t="n"/>
      <c r="P1" s="24" t="n"/>
      <c r="Q1" s="24" t="n"/>
      <c r="R1" s="24" t="n"/>
      <c r="S1" s="24" t="n"/>
      <c r="T1" s="24" t="n"/>
      <c r="U1" s="24" t="n"/>
      <c r="V1" s="24" t="n"/>
    </row>
    <row r="2">
      <c r="A2" s="24" t="n"/>
      <c r="B2" s="24" t="n"/>
      <c r="C2" s="24" t="n"/>
      <c r="D2" s="24" t="n"/>
      <c r="E2" s="24" t="n"/>
      <c r="F2" s="24" t="n"/>
      <c r="G2" s="24" t="n"/>
      <c r="H2" s="24" t="n"/>
      <c r="I2" s="24" t="n"/>
      <c r="J2" s="24" t="n"/>
      <c r="K2" s="24" t="n"/>
      <c r="L2" s="24" t="n"/>
      <c r="M2" s="24" t="n"/>
      <c r="N2" s="24" t="n"/>
      <c r="O2" s="24" t="n"/>
      <c r="P2" s="24" t="n"/>
      <c r="Q2" s="24" t="n"/>
      <c r="R2" s="24" t="n"/>
      <c r="S2" s="24" t="n"/>
      <c r="T2" s="24" t="n"/>
      <c r="U2" s="24" t="n"/>
      <c r="V2" s="24" t="n"/>
    </row>
    <row r="3">
      <c r="A3" s="35" t="inlineStr">
        <is>
          <t>PROJECT</t>
        </is>
      </c>
      <c r="B3" s="36" t="inlineStr">
        <is>
          <t>ParaBank Capstone – QA Documentation</t>
        </is>
      </c>
      <c r="C3" s="24" t="n"/>
      <c r="D3" s="24" t="n"/>
      <c r="E3" s="24" t="n"/>
      <c r="F3" s="24" t="n"/>
      <c r="G3" s="24" t="n"/>
      <c r="H3" s="24" t="n"/>
      <c r="I3" s="24" t="n"/>
      <c r="J3" s="24" t="n"/>
      <c r="K3" s="24" t="n"/>
      <c r="L3" s="24" t="n"/>
      <c r="M3" s="24" t="n"/>
      <c r="N3" s="24" t="n"/>
      <c r="O3" s="24" t="n"/>
      <c r="P3" s="24" t="n"/>
      <c r="Q3" s="24" t="n"/>
      <c r="R3" s="24" t="n"/>
      <c r="S3" s="24" t="n"/>
      <c r="T3" s="24" t="n"/>
      <c r="U3" s="24" t="n"/>
      <c r="V3" s="24" t="n"/>
    </row>
    <row r="4">
      <c r="A4" s="35" t="inlineStr">
        <is>
          <t>AUTHOR</t>
        </is>
      </c>
      <c r="B4" s="36" t="inlineStr">
        <is>
          <t>Senior QA Lead / Test Architect</t>
        </is>
      </c>
      <c r="C4" s="24" t="n"/>
      <c r="D4" s="24" t="n"/>
      <c r="E4" s="24" t="n"/>
      <c r="F4" s="24" t="n"/>
      <c r="G4" s="24" t="n"/>
      <c r="H4" s="24" t="n"/>
      <c r="I4" s="24" t="n"/>
      <c r="J4" s="24" t="n"/>
      <c r="K4" s="24" t="n"/>
      <c r="L4" s="24" t="n"/>
      <c r="M4" s="24" t="n"/>
      <c r="N4" s="24" t="n"/>
      <c r="O4" s="24" t="n"/>
      <c r="P4" s="24" t="n"/>
      <c r="Q4" s="24" t="n"/>
      <c r="R4" s="24" t="n"/>
      <c r="S4" s="24" t="n"/>
      <c r="T4" s="24" t="n"/>
      <c r="U4" s="24" t="n"/>
      <c r="V4" s="24" t="n"/>
    </row>
    <row r="5">
      <c r="A5" s="35" t="inlineStr">
        <is>
          <t>DATE</t>
        </is>
      </c>
      <c r="B5" s="36" t="inlineStr">
        <is>
          <t>June 2026</t>
        </is>
      </c>
      <c r="C5" s="24" t="n"/>
      <c r="D5" s="24" t="n"/>
      <c r="E5" s="24" t="n"/>
      <c r="F5" s="24" t="n"/>
      <c r="G5" s="24" t="n"/>
      <c r="H5" s="24" t="n"/>
      <c r="I5" s="24" t="n"/>
      <c r="J5" s="24" t="n"/>
      <c r="K5" s="24" t="n"/>
      <c r="L5" s="24" t="n"/>
      <c r="M5" s="24" t="n"/>
      <c r="N5" s="24" t="n"/>
      <c r="O5" s="24" t="n"/>
      <c r="P5" s="24" t="n"/>
      <c r="Q5" s="24" t="n"/>
      <c r="R5" s="24" t="n"/>
      <c r="S5" s="24" t="n"/>
      <c r="T5" s="24" t="n"/>
      <c r="U5" s="24" t="n"/>
      <c r="V5" s="24" t="n"/>
    </row>
    <row r="6" ht="28.8" customHeight="1">
      <c r="A6" s="35" t="inlineStr">
        <is>
          <t>OBJECTIVE</t>
        </is>
      </c>
      <c r="B6" s="26" t="inlineStr">
        <is>
          <t>Validate end-to-end account lifecycle and fund transfer flows using Robot Framework + Python (UI + API + Hybrid/E2E) under rigorous QA lead criteria</t>
        </is>
      </c>
      <c r="C6" s="24" t="n"/>
      <c r="D6" s="24" t="n"/>
      <c r="E6" s="24" t="n"/>
      <c r="F6" s="24" t="n"/>
      <c r="G6" s="24" t="n"/>
      <c r="H6" s="24" t="n"/>
      <c r="I6" s="24" t="n"/>
      <c r="J6" s="24" t="n"/>
      <c r="K6" s="24" t="n"/>
      <c r="L6" s="24" t="n"/>
      <c r="M6" s="24" t="n"/>
      <c r="N6" s="24" t="n"/>
      <c r="O6" s="24" t="n"/>
      <c r="P6" s="24" t="n"/>
      <c r="Q6" s="24" t="n"/>
      <c r="R6" s="24" t="n"/>
      <c r="S6" s="24" t="n"/>
      <c r="T6" s="24" t="n"/>
      <c r="U6" s="24" t="n"/>
      <c r="V6" s="24" t="n"/>
    </row>
    <row r="7">
      <c r="A7" s="24" t="n"/>
      <c r="B7" s="24" t="n"/>
      <c r="C7" s="24" t="n"/>
      <c r="D7" s="24" t="n"/>
      <c r="E7" s="24" t="n"/>
      <c r="F7" s="24" t="n"/>
      <c r="G7" s="24" t="n"/>
      <c r="H7" s="24" t="n"/>
      <c r="I7" s="24" t="n"/>
      <c r="J7" s="24" t="n"/>
      <c r="K7" s="24" t="n"/>
      <c r="L7" s="24" t="n"/>
      <c r="M7" s="24" t="n"/>
      <c r="N7" s="24" t="n"/>
      <c r="O7" s="24" t="n"/>
      <c r="P7" s="24" t="n"/>
      <c r="Q7" s="24" t="n"/>
      <c r="R7" s="24" t="n"/>
      <c r="S7" s="24" t="n"/>
      <c r="T7" s="24" t="n"/>
      <c r="U7" s="24" t="n"/>
      <c r="V7" s="24" t="n"/>
    </row>
    <row r="8">
      <c r="A8" s="37" t="inlineStr">
        <is>
          <t>EXECUTION SUMMARY</t>
        </is>
      </c>
      <c r="B8" s="34" t="n"/>
      <c r="C8" s="24" t="n"/>
      <c r="D8" s="24" t="n"/>
      <c r="E8" s="24" t="n"/>
      <c r="F8" s="24" t="n"/>
      <c r="G8" s="24" t="n"/>
      <c r="H8" s="24" t="n"/>
      <c r="I8" s="24" t="n"/>
      <c r="J8" s="24" t="n"/>
      <c r="K8" s="24" t="n"/>
      <c r="L8" s="24" t="n"/>
      <c r="M8" s="24" t="n"/>
      <c r="N8" s="24" t="n"/>
      <c r="O8" s="24" t="n"/>
      <c r="P8" s="24" t="n"/>
      <c r="Q8" s="24" t="n"/>
      <c r="R8" s="24" t="n"/>
      <c r="S8" s="24" t="n"/>
      <c r="T8" s="24" t="n"/>
      <c r="U8" s="24" t="n"/>
      <c r="V8" s="24" t="n"/>
    </row>
    <row r="9">
      <c r="A9" s="36" t="inlineStr">
        <is>
          <t>Total Test Cases Designed</t>
        </is>
      </c>
      <c r="B9" s="36">
        <f>'Test Execution Sheet'!B7</f>
        <v/>
      </c>
      <c r="C9" s="24" t="n"/>
      <c r="D9" s="24" t="n"/>
      <c r="E9" s="24" t="n"/>
      <c r="F9" s="24" t="n"/>
      <c r="G9" s="24" t="n"/>
      <c r="H9" s="24" t="n"/>
      <c r="I9" s="24" t="n"/>
      <c r="J9" s="24" t="n"/>
      <c r="K9" s="24" t="n"/>
      <c r="L9" s="24" t="n"/>
      <c r="M9" s="24" t="n"/>
      <c r="N9" s="24" t="n"/>
      <c r="O9" s="24" t="n"/>
      <c r="P9" s="24" t="n"/>
      <c r="Q9" s="24" t="n"/>
      <c r="R9" s="24" t="n"/>
      <c r="S9" s="24" t="n"/>
      <c r="T9" s="24" t="n"/>
      <c r="U9" s="24" t="n"/>
      <c r="V9" s="24" t="n"/>
    </row>
    <row r="10">
      <c r="A10" s="36" t="inlineStr">
        <is>
          <t>Total Test Cases Executed</t>
        </is>
      </c>
      <c r="B10" s="36">
        <f>'Test Execution Sheet'!B7</f>
        <v/>
      </c>
      <c r="C10" s="24" t="n"/>
      <c r="D10" s="24" t="n"/>
      <c r="E10" s="24" t="n"/>
      <c r="F10" s="24" t="n"/>
      <c r="G10" s="24" t="n"/>
      <c r="H10" s="24" t="n"/>
      <c r="I10" s="24" t="n"/>
      <c r="J10" s="24" t="n"/>
      <c r="K10" s="24" t="n"/>
      <c r="L10" s="24" t="n"/>
      <c r="M10" s="24" t="n"/>
      <c r="N10" s="24" t="n"/>
      <c r="O10" s="24" t="n"/>
      <c r="P10" s="24" t="n"/>
      <c r="Q10" s="24" t="n"/>
      <c r="R10" s="24" t="n"/>
      <c r="S10" s="24" t="n"/>
      <c r="T10" s="24" t="n"/>
      <c r="U10" s="24" t="n"/>
      <c r="V10" s="24" t="n"/>
    </row>
    <row r="11">
      <c r="A11" s="36" t="inlineStr">
        <is>
          <t>Passed</t>
        </is>
      </c>
      <c r="B11" s="36">
        <f>'Test Execution Sheet'!B8</f>
        <v/>
      </c>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row>
    <row r="12">
      <c r="A12" s="36" t="inlineStr">
        <is>
          <t>Failed</t>
        </is>
      </c>
      <c r="B12" s="36">
        <f>'Test Execution Sheet'!B9</f>
        <v/>
      </c>
      <c r="C12" s="24" t="n"/>
      <c r="D12" s="24" t="n"/>
      <c r="E12" s="24" t="n"/>
      <c r="F12" s="24" t="n"/>
      <c r="G12" s="24" t="n"/>
      <c r="H12" s="24" t="n"/>
      <c r="I12" s="24" t="n"/>
      <c r="J12" s="24" t="n"/>
      <c r="K12" s="24" t="n"/>
      <c r="L12" s="24" t="n"/>
      <c r="M12" s="24" t="n"/>
      <c r="N12" s="24" t="n"/>
      <c r="O12" s="24" t="n"/>
      <c r="P12" s="24" t="n"/>
      <c r="Q12" s="24" t="n"/>
      <c r="R12" s="24" t="n"/>
      <c r="S12" s="24" t="n"/>
      <c r="T12" s="24" t="n"/>
      <c r="U12" s="24" t="n"/>
      <c r="V12" s="24" t="n"/>
    </row>
    <row r="13">
      <c r="A13" s="36" t="inlineStr">
        <is>
          <t>Blocked</t>
        </is>
      </c>
      <c r="B13" s="36">
        <f>'Test Execution Sheet'!B10</f>
        <v/>
      </c>
      <c r="C13" s="24" t="n"/>
      <c r="D13" s="24" t="n"/>
      <c r="E13" s="24" t="n"/>
      <c r="F13" s="24" t="n"/>
      <c r="G13" s="24" t="n"/>
      <c r="H13" s="24" t="n"/>
      <c r="I13" s="24" t="n"/>
      <c r="J13" s="24" t="n"/>
      <c r="K13" s="24" t="n"/>
      <c r="L13" s="24" t="n"/>
      <c r="M13" s="24" t="n"/>
      <c r="N13" s="24" t="n"/>
      <c r="O13" s="24" t="n"/>
      <c r="P13" s="24" t="n"/>
      <c r="Q13" s="24" t="n"/>
      <c r="R13" s="24" t="n"/>
      <c r="S13" s="24" t="n"/>
      <c r="T13" s="24" t="n"/>
      <c r="U13" s="24" t="n"/>
      <c r="V13" s="24" t="n"/>
    </row>
    <row r="14">
      <c r="A14" s="36" t="inlineStr">
        <is>
          <t>Pass Rate</t>
        </is>
      </c>
      <c r="B14" s="36">
        <f>B11/B10</f>
        <v/>
      </c>
      <c r="C14" s="24" t="n"/>
      <c r="D14" s="24" t="n"/>
      <c r="E14" s="24" t="n"/>
      <c r="F14" s="24" t="n"/>
      <c r="G14" s="24" t="n"/>
      <c r="H14" s="24" t="n"/>
      <c r="I14" s="24" t="n"/>
      <c r="J14" s="24" t="n"/>
      <c r="K14" s="24" t="n"/>
      <c r="L14" s="24" t="n"/>
      <c r="M14" s="24" t="n"/>
      <c r="N14" s="24" t="n"/>
      <c r="O14" s="24" t="n"/>
      <c r="P14" s="24" t="n"/>
      <c r="Q14" s="24" t="n"/>
      <c r="R14" s="24" t="n"/>
      <c r="S14" s="24" t="n"/>
      <c r="T14" s="24" t="n"/>
      <c r="U14" s="24" t="n"/>
      <c r="V14" s="24" t="n"/>
    </row>
    <row r="15">
      <c r="A15" s="24" t="n"/>
      <c r="B15" s="24" t="n"/>
      <c r="C15" s="24" t="n"/>
      <c r="D15" s="24" t="n"/>
      <c r="E15" s="24" t="n"/>
      <c r="F15" s="24" t="n"/>
      <c r="G15" s="24" t="n"/>
      <c r="H15" s="24" t="n"/>
      <c r="I15" s="24" t="n"/>
      <c r="J15" s="24" t="n"/>
      <c r="K15" s="24" t="n"/>
      <c r="L15" s="24" t="n"/>
      <c r="M15" s="24" t="n"/>
      <c r="N15" s="24" t="n"/>
      <c r="O15" s="24" t="n"/>
      <c r="P15" s="24" t="n"/>
      <c r="Q15" s="24" t="n"/>
      <c r="R15" s="24" t="n"/>
      <c r="S15" s="24" t="n"/>
      <c r="T15" s="24" t="n"/>
      <c r="U15" s="24" t="n"/>
      <c r="V15" s="24" t="n"/>
    </row>
    <row r="16">
      <c r="A16" s="37" t="inlineStr">
        <is>
          <t>TEST TYPE BREAKDOWN</t>
        </is>
      </c>
      <c r="B16" s="34" t="n"/>
      <c r="C16" s="24" t="n"/>
      <c r="D16" s="24" t="n"/>
      <c r="E16" s="24" t="n"/>
      <c r="F16" s="24" t="n"/>
      <c r="G16" s="24" t="n"/>
      <c r="H16" s="24" t="n"/>
      <c r="I16" s="24" t="n"/>
      <c r="J16" s="24" t="n"/>
      <c r="K16" s="24" t="n"/>
      <c r="L16" s="24" t="n"/>
      <c r="M16" s="24" t="n"/>
      <c r="N16" s="24" t="n"/>
      <c r="O16" s="24" t="n"/>
      <c r="P16" s="24" t="n"/>
      <c r="Q16" s="24" t="n"/>
      <c r="R16" s="24" t="n"/>
      <c r="S16" s="24" t="n"/>
      <c r="T16" s="24" t="n"/>
      <c r="U16" s="24" t="n"/>
      <c r="V16" s="24" t="n"/>
    </row>
    <row r="17">
      <c r="A17" s="36" t="inlineStr">
        <is>
          <t>UI Tests</t>
        </is>
      </c>
      <c r="B17" s="36" t="inlineStr">
        <is>
          <t>10 executed - 7 Passed, 3 Failed</t>
        </is>
      </c>
      <c r="C17" s="24" t="n"/>
      <c r="D17" s="24" t="n"/>
      <c r="E17" s="24" t="n"/>
      <c r="F17" s="24" t="n"/>
      <c r="G17" s="24" t="n"/>
      <c r="H17" s="24" t="n"/>
      <c r="I17" s="24" t="n"/>
      <c r="J17" s="24" t="n"/>
      <c r="K17" s="24" t="n"/>
      <c r="L17" s="24" t="n"/>
      <c r="M17" s="24" t="n"/>
      <c r="N17" s="24" t="n"/>
      <c r="O17" s="24" t="n"/>
      <c r="P17" s="24" t="n"/>
      <c r="Q17" s="24" t="n"/>
      <c r="R17" s="24" t="n"/>
      <c r="S17" s="24" t="n"/>
      <c r="T17" s="24" t="n"/>
      <c r="U17" s="24" t="n"/>
      <c r="V17" s="24" t="n"/>
    </row>
    <row r="18">
      <c r="A18" s="36" t="inlineStr">
        <is>
          <t>API Tests</t>
        </is>
      </c>
      <c r="B18" s="36" t="inlineStr">
        <is>
          <t>10 executed – 8 Passed, 2 Failed</t>
        </is>
      </c>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row>
    <row r="19">
      <c r="A19" s="36" t="inlineStr">
        <is>
          <t>E2E Tests</t>
        </is>
      </c>
      <c r="B19" s="36" t="inlineStr">
        <is>
          <t>2 executed – 2 Passed</t>
        </is>
      </c>
      <c r="C19" s="24" t="n"/>
      <c r="D19" s="24" t="n"/>
      <c r="E19" s="24" t="n"/>
      <c r="F19" s="24" t="n"/>
      <c r="G19" s="24" t="n"/>
      <c r="H19" s="24" t="n"/>
      <c r="I19" s="24" t="n"/>
      <c r="J19" s="24" t="n"/>
      <c r="K19" s="24" t="n"/>
      <c r="L19" s="24" t="n"/>
      <c r="M19" s="24" t="n"/>
      <c r="N19" s="24" t="n"/>
      <c r="O19" s="24" t="n"/>
      <c r="P19" s="24" t="n"/>
      <c r="Q19" s="24" t="n"/>
      <c r="R19" s="24" t="n"/>
      <c r="S19" s="24" t="n"/>
      <c r="T19" s="24" t="n"/>
      <c r="U19" s="24" t="n"/>
      <c r="V19" s="24" t="n"/>
    </row>
    <row r="20">
      <c r="A20" s="24" t="n"/>
      <c r="B20" s="24" t="n"/>
      <c r="C20" s="24" t="n"/>
      <c r="D20" s="24" t="n"/>
      <c r="E20" s="24" t="n"/>
      <c r="F20" s="24" t="n"/>
      <c r="G20" s="24" t="n"/>
      <c r="H20" s="24" t="n"/>
      <c r="I20" s="24" t="n"/>
      <c r="J20" s="24" t="n"/>
      <c r="K20" s="24" t="n"/>
      <c r="L20" s="24" t="n"/>
      <c r="M20" s="24" t="n"/>
      <c r="N20" s="24" t="n"/>
      <c r="O20" s="24" t="n"/>
      <c r="P20" s="24" t="n"/>
      <c r="Q20" s="24" t="n"/>
      <c r="R20" s="24" t="n"/>
      <c r="S20" s="24" t="n"/>
      <c r="T20" s="24" t="n"/>
      <c r="U20" s="24" t="n"/>
      <c r="V20" s="24" t="n"/>
    </row>
    <row r="21">
      <c r="A21" s="37" t="inlineStr">
        <is>
          <t>REQUIREMENTS COVERAGE</t>
        </is>
      </c>
      <c r="B21" s="34" t="n"/>
      <c r="C21" s="24" t="n"/>
      <c r="D21" s="24" t="n"/>
      <c r="E21" s="24" t="n"/>
      <c r="F21" s="24" t="n"/>
      <c r="G21" s="24" t="n"/>
      <c r="H21" s="24" t="n"/>
      <c r="I21" s="24" t="n"/>
      <c r="J21" s="24" t="n"/>
      <c r="K21" s="24" t="n"/>
      <c r="L21" s="24" t="n"/>
      <c r="M21" s="24" t="n"/>
      <c r="N21" s="24" t="n"/>
      <c r="O21" s="24" t="n"/>
      <c r="P21" s="24" t="n"/>
      <c r="Q21" s="24" t="n"/>
      <c r="R21" s="24" t="n"/>
      <c r="S21" s="24" t="n"/>
      <c r="T21" s="24" t="n"/>
      <c r="U21" s="24" t="n"/>
      <c r="V21" s="24" t="n"/>
    </row>
    <row r="22" ht="28.8" customHeight="1">
      <c r="A22" s="36" t="inlineStr">
        <is>
          <t>FR Coverage Status</t>
        </is>
      </c>
      <c r="B22" s="26" t="inlineStr">
        <is>
          <t>All 9 FRs (FR-01 to FR-09) are covered by at least one test case, establishing traceability across UI, API, and E2E layers</t>
        </is>
      </c>
      <c r="C22" s="24" t="n"/>
      <c r="D22" s="24" t="n"/>
      <c r="E22" s="24" t="n"/>
      <c r="F22" s="24" t="n"/>
      <c r="G22" s="24" t="n"/>
      <c r="H22" s="24" t="n"/>
      <c r="I22" s="24" t="n"/>
      <c r="J22" s="24" t="n"/>
      <c r="K22" s="24" t="n"/>
      <c r="L22" s="24" t="n"/>
      <c r="M22" s="24" t="n"/>
      <c r="N22" s="24" t="n"/>
      <c r="O22" s="24" t="n"/>
      <c r="P22" s="24" t="n"/>
      <c r="Q22" s="24" t="n"/>
      <c r="R22" s="24" t="n"/>
      <c r="S22" s="24" t="n"/>
      <c r="T22" s="24" t="n"/>
      <c r="U22" s="24" t="n"/>
      <c r="V22" s="24" t="n"/>
    </row>
    <row r="23">
      <c r="A23" s="24" t="n"/>
      <c r="B23" s="24" t="n"/>
      <c r="C23" s="24" t="n"/>
      <c r="D23" s="24" t="n"/>
      <c r="E23" s="24" t="n"/>
      <c r="F23" s="24" t="n"/>
      <c r="G23" s="24" t="n"/>
      <c r="H23" s="24" t="n"/>
      <c r="I23" s="24" t="n"/>
      <c r="J23" s="24" t="n"/>
      <c r="K23" s="24" t="n"/>
      <c r="L23" s="24" t="n"/>
      <c r="M23" s="24" t="n"/>
      <c r="N23" s="24" t="n"/>
      <c r="O23" s="24" t="n"/>
      <c r="P23" s="24" t="n"/>
      <c r="Q23" s="24" t="n"/>
      <c r="R23" s="24" t="n"/>
      <c r="S23" s="24" t="n"/>
      <c r="T23" s="24" t="n"/>
      <c r="U23" s="24" t="n"/>
      <c r="V23" s="24" t="n"/>
    </row>
    <row r="24">
      <c r="A24" s="37" t="inlineStr">
        <is>
          <t>DEFECTS SUMMARY</t>
        </is>
      </c>
      <c r="B24" s="34" t="n"/>
      <c r="C24" s="24" t="n"/>
      <c r="D24" s="24" t="n"/>
      <c r="E24" s="24" t="n"/>
      <c r="F24" s="24" t="n"/>
      <c r="G24" s="24" t="n"/>
      <c r="H24" s="24" t="n"/>
      <c r="I24" s="24" t="n"/>
      <c r="J24" s="24" t="n"/>
      <c r="K24" s="24" t="n"/>
      <c r="L24" s="24" t="n"/>
      <c r="M24" s="24" t="n"/>
      <c r="N24" s="24" t="n"/>
      <c r="O24" s="24" t="n"/>
      <c r="P24" s="24" t="n"/>
      <c r="Q24" s="24" t="n"/>
      <c r="R24" s="24" t="n"/>
      <c r="S24" s="24" t="n"/>
      <c r="T24" s="24" t="n"/>
      <c r="U24" s="24" t="n"/>
      <c r="V24" s="24" t="n"/>
    </row>
    <row r="25">
      <c r="A25" s="36" t="inlineStr">
        <is>
          <t>Total Defects Identified</t>
        </is>
      </c>
      <c r="B25" s="36">
        <f>SUM(B26:B29)</f>
        <v/>
      </c>
      <c r="C25" s="24" t="n"/>
      <c r="D25" s="24" t="n"/>
      <c r="E25" s="24" t="n"/>
      <c r="F25" s="24" t="n"/>
      <c r="G25" s="24" t="n"/>
      <c r="H25" s="24" t="n"/>
      <c r="I25" s="24" t="n"/>
      <c r="J25" s="24" t="n"/>
      <c r="K25" s="24" t="n"/>
      <c r="L25" s="24" t="n"/>
      <c r="M25" s="24" t="n"/>
      <c r="N25" s="24" t="n"/>
      <c r="O25" s="24" t="n"/>
      <c r="P25" s="24" t="n"/>
      <c r="Q25" s="24" t="n"/>
      <c r="R25" s="24" t="n"/>
      <c r="S25" s="24" t="n"/>
      <c r="T25" s="24" t="n"/>
      <c r="U25" s="24" t="n"/>
      <c r="V25" s="24" t="n"/>
    </row>
    <row r="26">
      <c r="A26" s="36" t="inlineStr">
        <is>
          <t>Critical Severity</t>
        </is>
      </c>
      <c r="B26" s="36">
        <f>COUNTIF('Defect Tracking Sheet'!H2:H9, "Critical")</f>
        <v/>
      </c>
      <c r="C26" s="24" t="n"/>
      <c r="D26" s="24" t="n"/>
      <c r="E26" s="24" t="n"/>
      <c r="F26" s="24" t="n"/>
      <c r="G26" s="24" t="n"/>
      <c r="H26" s="24" t="n"/>
      <c r="I26" s="24" t="n"/>
      <c r="J26" s="24" t="n"/>
      <c r="K26" s="24" t="n"/>
      <c r="L26" s="24" t="n"/>
      <c r="M26" s="24" t="n"/>
      <c r="N26" s="24" t="n"/>
      <c r="O26" s="24" t="n"/>
      <c r="P26" s="24" t="n"/>
      <c r="Q26" s="24" t="n"/>
      <c r="R26" s="24" t="n"/>
      <c r="S26" s="24" t="n"/>
      <c r="T26" s="24" t="n"/>
      <c r="U26" s="24" t="n"/>
      <c r="V26" s="24" t="n"/>
    </row>
    <row r="27">
      <c r="A27" s="36" t="inlineStr">
        <is>
          <t>High Severity</t>
        </is>
      </c>
      <c r="B27" s="36">
        <f>COUNTIF('Defect Tracking Sheet'!H2:H9, "High")</f>
        <v/>
      </c>
      <c r="C27" s="24" t="n"/>
      <c r="D27" s="24" t="n"/>
      <c r="E27" s="24" t="n"/>
      <c r="F27" s="24" t="n"/>
      <c r="G27" s="24" t="n"/>
      <c r="H27" s="24" t="n"/>
      <c r="I27" s="24" t="n"/>
      <c r="J27" s="24" t="n"/>
      <c r="K27" s="24" t="n"/>
      <c r="L27" s="24" t="n"/>
      <c r="M27" s="24" t="n"/>
      <c r="N27" s="24" t="n"/>
      <c r="O27" s="24" t="n"/>
      <c r="P27" s="24" t="n"/>
      <c r="Q27" s="24" t="n"/>
      <c r="R27" s="24" t="n"/>
      <c r="S27" s="24" t="n"/>
      <c r="T27" s="24" t="n"/>
      <c r="U27" s="24" t="n"/>
      <c r="V27" s="24" t="n"/>
    </row>
    <row r="28">
      <c r="A28" s="36" t="inlineStr">
        <is>
          <t>Medium Severity</t>
        </is>
      </c>
      <c r="B28" s="36">
        <f>COUNTIF('Defect Tracking Sheet'!H2:H9, "Medium")</f>
        <v/>
      </c>
      <c r="C28" s="24" t="n"/>
      <c r="D28" s="24" t="n"/>
      <c r="E28" s="24" t="n"/>
      <c r="F28" s="24" t="n"/>
      <c r="G28" s="24" t="n"/>
      <c r="H28" s="24" t="n"/>
      <c r="I28" s="24" t="n"/>
      <c r="J28" s="24" t="n"/>
      <c r="K28" s="24" t="n"/>
      <c r="L28" s="24" t="n"/>
      <c r="M28" s="24" t="n"/>
      <c r="N28" s="24" t="n"/>
      <c r="O28" s="24" t="n"/>
      <c r="P28" s="24" t="n"/>
      <c r="Q28" s="24" t="n"/>
      <c r="R28" s="24" t="n"/>
      <c r="S28" s="24" t="n"/>
      <c r="T28" s="24" t="n"/>
      <c r="U28" s="24" t="n"/>
      <c r="V28" s="24" t="n"/>
    </row>
    <row r="29">
      <c r="A29" s="36" t="inlineStr">
        <is>
          <t>Low Severity</t>
        </is>
      </c>
      <c r="B29" s="36">
        <f>COUNTIF('Defect Tracking Sheet'!H2:H9, "Low")</f>
        <v/>
      </c>
      <c r="C29" s="24" t="n"/>
      <c r="D29" s="24" t="n"/>
      <c r="E29" s="24" t="n"/>
      <c r="F29" s="24" t="n"/>
      <c r="G29" s="24" t="n"/>
      <c r="H29" s="24" t="n"/>
      <c r="I29" s="24" t="n"/>
      <c r="J29" s="24" t="n"/>
      <c r="K29" s="24" t="n"/>
      <c r="L29" s="24" t="n"/>
      <c r="M29" s="24" t="n"/>
      <c r="N29" s="24" t="n"/>
      <c r="O29" s="24" t="n"/>
      <c r="P29" s="24" t="n"/>
      <c r="Q29" s="24" t="n"/>
      <c r="R29" s="24" t="n"/>
      <c r="S29" s="24" t="n"/>
      <c r="T29" s="24" t="n"/>
      <c r="U29" s="24" t="n"/>
      <c r="V29" s="24" t="n"/>
    </row>
    <row r="30">
      <c r="A30" s="24" t="n"/>
      <c r="B30" s="24" t="n"/>
      <c r="C30" s="24" t="n"/>
      <c r="D30" s="24" t="n"/>
      <c r="E30" s="24" t="n"/>
      <c r="F30" s="24" t="n"/>
      <c r="G30" s="24" t="n"/>
      <c r="H30" s="24" t="n"/>
      <c r="I30" s="24" t="n"/>
      <c r="J30" s="24" t="n"/>
      <c r="K30" s="24" t="n"/>
      <c r="L30" s="24" t="n"/>
      <c r="M30" s="24" t="n"/>
      <c r="N30" s="24" t="n"/>
      <c r="O30" s="24" t="n"/>
      <c r="P30" s="24" t="n"/>
      <c r="Q30" s="24" t="n"/>
      <c r="R30" s="24" t="n"/>
      <c r="S30" s="24" t="n"/>
      <c r="T30" s="24" t="n"/>
      <c r="U30" s="24" t="n"/>
      <c r="V30" s="24" t="n"/>
    </row>
    <row r="31">
      <c r="A31" s="37" t="inlineStr">
        <is>
          <t>AUTOMATION FRAMEWORK</t>
        </is>
      </c>
      <c r="B31" s="34" t="n"/>
      <c r="C31" s="24" t="n"/>
      <c r="D31" s="24" t="n"/>
      <c r="E31" s="24" t="n"/>
      <c r="F31" s="24" t="n"/>
      <c r="G31" s="24" t="n"/>
      <c r="H31" s="24" t="n"/>
      <c r="I31" s="24" t="n"/>
      <c r="J31" s="24" t="n"/>
      <c r="K31" s="24" t="n"/>
      <c r="L31" s="24" t="n"/>
      <c r="M31" s="24" t="n"/>
      <c r="N31" s="24" t="n"/>
      <c r="O31" s="24" t="n"/>
      <c r="P31" s="24" t="n"/>
      <c r="Q31" s="24" t="n"/>
      <c r="R31" s="24" t="n"/>
      <c r="S31" s="24" t="n"/>
      <c r="T31" s="24" t="n"/>
      <c r="U31" s="24" t="n"/>
      <c r="V31" s="24" t="n"/>
    </row>
    <row r="32">
      <c r="A32" s="36" t="inlineStr">
        <is>
          <t>Framework Tech Stack</t>
        </is>
      </c>
      <c r="B32" s="36" t="inlineStr">
        <is>
          <t>Robot Framework + Python</t>
        </is>
      </c>
      <c r="C32" s="24" t="n"/>
      <c r="D32" s="24" t="n"/>
      <c r="E32" s="24" t="n"/>
      <c r="F32" s="24" t="n"/>
      <c r="G32" s="24" t="n"/>
      <c r="H32" s="24" t="n"/>
      <c r="I32" s="24" t="n"/>
      <c r="J32" s="24" t="n"/>
      <c r="K32" s="24" t="n"/>
      <c r="L32" s="24" t="n"/>
      <c r="M32" s="24" t="n"/>
      <c r="N32" s="24" t="n"/>
      <c r="O32" s="24" t="n"/>
      <c r="P32" s="24" t="n"/>
      <c r="Q32" s="24" t="n"/>
      <c r="R32" s="24" t="n"/>
      <c r="S32" s="24" t="n"/>
      <c r="T32" s="24" t="n"/>
      <c r="U32" s="24" t="n"/>
      <c r="V32" s="24" t="n"/>
    </row>
    <row r="33">
      <c r="A33" s="36" t="inlineStr">
        <is>
          <t>Execution Pattern</t>
        </is>
      </c>
      <c r="B33" s="26" t="inlineStr">
        <is>
          <t>POM + API Fixtures + Parallel Execution (Pabot)</t>
        </is>
      </c>
      <c r="C33" s="24" t="n"/>
      <c r="D33" s="24" t="n"/>
      <c r="E33" s="24" t="n"/>
      <c r="F33" s="24" t="n"/>
      <c r="G33" s="24" t="n"/>
      <c r="H33" s="24" t="n"/>
      <c r="I33" s="24" t="n"/>
      <c r="J33" s="24" t="n"/>
      <c r="K33" s="24" t="n"/>
      <c r="L33" s="24" t="n"/>
      <c r="M33" s="24" t="n"/>
      <c r="N33" s="24" t="n"/>
      <c r="O33" s="24" t="n"/>
      <c r="P33" s="24" t="n"/>
      <c r="Q33" s="24" t="n"/>
      <c r="R33" s="24" t="n"/>
      <c r="S33" s="24" t="n"/>
      <c r="T33" s="24" t="n"/>
      <c r="U33" s="24" t="n"/>
      <c r="V33" s="24" t="n"/>
    </row>
    <row r="34">
      <c r="A34" s="36" t="inlineStr">
        <is>
          <t>Browsers Evaluated</t>
        </is>
      </c>
      <c r="B34" s="36" t="inlineStr">
        <is>
          <t>Chromium, Firefox</t>
        </is>
      </c>
      <c r="C34" s="24" t="n"/>
      <c r="D34" s="24" t="n"/>
      <c r="E34" s="24" t="n"/>
      <c r="F34" s="24" t="n"/>
      <c r="G34" s="24" t="n"/>
      <c r="H34" s="24" t="n"/>
      <c r="I34" s="24" t="n"/>
      <c r="J34" s="24" t="n"/>
      <c r="K34" s="24" t="n"/>
      <c r="L34" s="24" t="n"/>
      <c r="M34" s="24" t="n"/>
      <c r="N34" s="24" t="n"/>
      <c r="O34" s="24" t="n"/>
      <c r="P34" s="24" t="n"/>
      <c r="Q34" s="24" t="n"/>
      <c r="R34" s="24" t="n"/>
      <c r="S34" s="24" t="n"/>
      <c r="T34" s="24" t="n"/>
      <c r="U34" s="24" t="n"/>
      <c r="V34" s="24" t="n"/>
    </row>
    <row r="35">
      <c r="A35" s="36" t="inlineStr">
        <is>
          <t>Failed Tests Retries</t>
        </is>
      </c>
      <c r="B35" s="36" t="inlineStr">
        <is>
          <t>1 retry configured on failure</t>
        </is>
      </c>
      <c r="C35" s="24" t="n"/>
      <c r="D35" s="24" t="n"/>
      <c r="E35" s="24" t="n"/>
      <c r="F35" s="24" t="n"/>
      <c r="G35" s="24" t="n"/>
      <c r="H35" s="24" t="n"/>
      <c r="I35" s="24" t="n"/>
      <c r="J35" s="24" t="n"/>
      <c r="K35" s="24" t="n"/>
      <c r="L35" s="24" t="n"/>
      <c r="M35" s="24" t="n"/>
      <c r="N35" s="24" t="n"/>
      <c r="O35" s="24" t="n"/>
      <c r="P35" s="24" t="n"/>
      <c r="Q35" s="24" t="n"/>
      <c r="R35" s="24" t="n"/>
      <c r="S35" s="24" t="n"/>
      <c r="T35" s="24" t="n"/>
      <c r="U35" s="24" t="n"/>
      <c r="V35" s="24" t="n"/>
    </row>
    <row r="36">
      <c r="A36" s="36" t="inlineStr">
        <is>
          <t>Parallel Workers</t>
        </is>
      </c>
      <c r="B36" s="36" t="inlineStr">
        <is>
          <t>4 parallel processes (Pabot sharding)</t>
        </is>
      </c>
      <c r="C36" s="24" t="n"/>
      <c r="D36" s="24" t="n"/>
      <c r="E36" s="24" t="n"/>
      <c r="F36" s="24" t="n"/>
      <c r="G36" s="24" t="n"/>
      <c r="H36" s="24" t="n"/>
      <c r="I36" s="24" t="n"/>
      <c r="J36" s="24" t="n"/>
      <c r="K36" s="24" t="n"/>
      <c r="L36" s="24" t="n"/>
      <c r="M36" s="24" t="n"/>
      <c r="N36" s="24" t="n"/>
      <c r="O36" s="24" t="n"/>
      <c r="P36" s="24" t="n"/>
      <c r="Q36" s="24" t="n"/>
      <c r="R36" s="24" t="n"/>
      <c r="S36" s="24" t="n"/>
      <c r="T36" s="24" t="n"/>
      <c r="U36" s="24" t="n"/>
      <c r="V36" s="24" t="n"/>
    </row>
    <row r="37">
      <c r="A37" s="36" t="inlineStr">
        <is>
          <t>CI/CD Pipeline</t>
        </is>
      </c>
      <c r="B37" s="26" t="inlineStr">
        <is>
          <t>GitHub Actions / Jenkins integration (.github/workflows/robot.yml)</t>
        </is>
      </c>
      <c r="C37" s="24" t="n"/>
      <c r="D37" s="24" t="n"/>
      <c r="E37" s="24" t="n"/>
      <c r="F37" s="24" t="n"/>
      <c r="G37" s="24" t="n"/>
      <c r="H37" s="24" t="n"/>
      <c r="I37" s="24" t="n"/>
      <c r="J37" s="24" t="n"/>
      <c r="K37" s="24" t="n"/>
      <c r="L37" s="24" t="n"/>
      <c r="M37" s="24" t="n"/>
      <c r="N37" s="24" t="n"/>
      <c r="O37" s="24" t="n"/>
      <c r="P37" s="24" t="n"/>
      <c r="Q37" s="24" t="n"/>
      <c r="R37" s="24" t="n"/>
      <c r="S37" s="24" t="n"/>
      <c r="T37" s="24" t="n"/>
      <c r="U37" s="24" t="n"/>
      <c r="V37" s="24" t="n"/>
    </row>
    <row r="38">
      <c r="A38" s="36" t="inlineStr">
        <is>
          <t>Execution Reports</t>
        </is>
      </c>
      <c r="B38" s="26" t="inlineStr">
        <is>
          <t>Allure Report + Built-in Robot Framework Report</t>
        </is>
      </c>
      <c r="C38" s="24" t="n"/>
      <c r="D38" s="24" t="n"/>
      <c r="E38" s="24" t="n"/>
      <c r="F38" s="24" t="n"/>
      <c r="G38" s="24" t="n"/>
      <c r="H38" s="24" t="n"/>
      <c r="I38" s="24" t="n"/>
      <c r="J38" s="24" t="n"/>
      <c r="K38" s="24" t="n"/>
      <c r="L38" s="24" t="n"/>
      <c r="M38" s="24" t="n"/>
      <c r="N38" s="24" t="n"/>
      <c r="O38" s="24" t="n"/>
      <c r="P38" s="24" t="n"/>
      <c r="Q38" s="24" t="n"/>
      <c r="R38" s="24" t="n"/>
      <c r="S38" s="24" t="n"/>
      <c r="T38" s="24" t="n"/>
      <c r="U38" s="24" t="n"/>
      <c r="V38" s="24" t="n"/>
    </row>
    <row r="39">
      <c r="A39" s="24" t="n"/>
      <c r="B39" s="24" t="n"/>
      <c r="C39" s="24" t="n"/>
      <c r="D39" s="24" t="n"/>
      <c r="E39" s="24" t="n"/>
      <c r="F39" s="24" t="n"/>
      <c r="G39" s="24" t="n"/>
      <c r="H39" s="24" t="n"/>
      <c r="I39" s="24" t="n"/>
      <c r="J39" s="24" t="n"/>
      <c r="K39" s="24" t="n"/>
      <c r="L39" s="24" t="n"/>
      <c r="M39" s="24" t="n"/>
      <c r="N39" s="24" t="n"/>
      <c r="O39" s="24" t="n"/>
      <c r="P39" s="24" t="n"/>
      <c r="Q39" s="24" t="n"/>
      <c r="R39" s="24" t="n"/>
      <c r="S39" s="24" t="n"/>
      <c r="T39" s="24" t="n"/>
      <c r="U39" s="24" t="n"/>
      <c r="V39" s="24" t="n"/>
    </row>
    <row r="40">
      <c r="A40" s="37" t="inlineStr">
        <is>
          <t>AI-DRIVEN ENHANCEMENTS</t>
        </is>
      </c>
      <c r="B40" s="34" t="n"/>
      <c r="C40" s="24" t="n"/>
      <c r="D40" s="24" t="n"/>
      <c r="E40" s="24" t="n"/>
      <c r="F40" s="24" t="n"/>
      <c r="G40" s="24" t="n"/>
      <c r="H40" s="24" t="n"/>
      <c r="I40" s="24" t="n"/>
      <c r="J40" s="24" t="n"/>
      <c r="K40" s="24" t="n"/>
      <c r="L40" s="24" t="n"/>
      <c r="M40" s="24" t="n"/>
      <c r="N40" s="24" t="n"/>
      <c r="O40" s="24" t="n"/>
      <c r="P40" s="24" t="n"/>
      <c r="Q40" s="24" t="n"/>
      <c r="R40" s="24" t="n"/>
      <c r="S40" s="24" t="n"/>
      <c r="T40" s="24" t="n"/>
      <c r="U40" s="24" t="n"/>
      <c r="V40" s="24" t="n"/>
    </row>
    <row r="41">
      <c r="A41" s="36" t="inlineStr">
        <is>
          <t>Test Data Generation</t>
        </is>
      </c>
      <c r="B41" s="26" t="inlineStr">
        <is>
          <t>Random data generation utility (usernames, transfer amounts, SSN) using Python faker libraries</t>
        </is>
      </c>
      <c r="C41" s="24" t="n"/>
      <c r="D41" s="24" t="n"/>
      <c r="E41" s="24" t="n"/>
      <c r="F41" s="24" t="n"/>
      <c r="G41" s="24" t="n"/>
      <c r="H41" s="24" t="n"/>
      <c r="I41" s="24" t="n"/>
      <c r="J41" s="24" t="n"/>
      <c r="K41" s="24" t="n"/>
      <c r="L41" s="24" t="n"/>
      <c r="M41" s="24" t="n"/>
      <c r="N41" s="24" t="n"/>
      <c r="O41" s="24" t="n"/>
      <c r="P41" s="24" t="n"/>
      <c r="Q41" s="24" t="n"/>
      <c r="R41" s="24" t="n"/>
      <c r="S41" s="24" t="n"/>
      <c r="T41" s="24" t="n"/>
      <c r="U41" s="24" t="n"/>
      <c r="V41" s="24" t="n"/>
    </row>
    <row r="42">
      <c r="A42" s="36" t="inlineStr">
        <is>
          <t>Failure Analysis Report</t>
        </is>
      </c>
      <c r="B42" s="26" t="inlineStr">
        <is>
          <t>AI Failure Analysis log parses runtime errors, counts, and lists code exceptions</t>
        </is>
      </c>
      <c r="C42" s="24" t="n"/>
      <c r="D42" s="24" t="n"/>
      <c r="E42" s="24" t="n"/>
      <c r="F42" s="24" t="n"/>
      <c r="G42" s="24" t="n"/>
      <c r="H42" s="24" t="n"/>
      <c r="I42" s="24" t="n"/>
      <c r="J42" s="24" t="n"/>
      <c r="K42" s="24" t="n"/>
      <c r="L42" s="24" t="n"/>
      <c r="M42" s="24" t="n"/>
      <c r="N42" s="24" t="n"/>
      <c r="O42" s="24" t="n"/>
      <c r="P42" s="24" t="n"/>
      <c r="Q42" s="24" t="n"/>
      <c r="R42" s="24" t="n"/>
      <c r="S42" s="24" t="n"/>
      <c r="T42" s="24" t="n"/>
      <c r="U42" s="24" t="n"/>
      <c r="V42" s="24" t="n"/>
    </row>
    <row r="43">
      <c r="A43" s="24" t="n"/>
      <c r="B43" s="24" t="n"/>
      <c r="C43" s="24" t="n"/>
      <c r="D43" s="24" t="n"/>
      <c r="E43" s="24" t="n"/>
      <c r="F43" s="24" t="n"/>
      <c r="G43" s="24" t="n"/>
      <c r="H43" s="24" t="n"/>
      <c r="I43" s="24" t="n"/>
      <c r="J43" s="24" t="n"/>
      <c r="K43" s="24" t="n"/>
      <c r="L43" s="24" t="n"/>
      <c r="M43" s="24" t="n"/>
      <c r="N43" s="24" t="n"/>
      <c r="O43" s="24" t="n"/>
      <c r="P43" s="24" t="n"/>
      <c r="Q43" s="24" t="n"/>
      <c r="R43" s="24" t="n"/>
      <c r="S43" s="24" t="n"/>
      <c r="T43" s="24" t="n"/>
      <c r="U43" s="24" t="n"/>
      <c r="V43" s="24" t="n"/>
    </row>
    <row r="44">
      <c r="A44" s="37" t="inlineStr">
        <is>
          <t>SIGN-OFF RECOMMENDATION</t>
        </is>
      </c>
      <c r="B44" s="34" t="n"/>
      <c r="C44" s="24" t="n"/>
      <c r="D44" s="24" t="n"/>
      <c r="E44" s="24" t="n"/>
      <c r="F44" s="24" t="n"/>
      <c r="G44" s="24" t="n"/>
      <c r="H44" s="24" t="n"/>
      <c r="I44" s="24" t="n"/>
      <c r="J44" s="24" t="n"/>
      <c r="K44" s="24" t="n"/>
      <c r="L44" s="24" t="n"/>
      <c r="M44" s="24" t="n"/>
      <c r="N44" s="24" t="n"/>
      <c r="O44" s="24" t="n"/>
      <c r="P44" s="24" t="n"/>
      <c r="Q44" s="24" t="n"/>
      <c r="R44" s="24" t="n"/>
      <c r="S44" s="24" t="n"/>
      <c r="T44" s="24" t="n"/>
      <c r="U44" s="24" t="n"/>
      <c r="V44" s="24" t="n"/>
    </row>
    <row r="45">
      <c r="A45" s="29" t="inlineStr">
        <is>
          <t>The manual and automated test suites have completed execution. Out of 22 designed test cases, 17 passed, and 5 negative test cases (TC-TX-UI-03, TC-TX-UI-04, TC-TX-UI-05, TC-API-08, TC-API-09) failed due to application validation and error handling bugs (allowing negative/blank/alphabetic amounts, overdrafts, and invalid status codes). The core functional flows for account creation, retrieval, and fund transfers are stable. It is recommended to deploy the build with hotfixes for the logged defects (BUG-001, BUG-002, BUG-003, BUG-004, BUG-005) to ensure robust validation in production.</t>
        </is>
      </c>
      <c r="B45" s="34" t="n"/>
      <c r="C45" s="24" t="n"/>
      <c r="D45" s="24" t="n"/>
      <c r="E45" s="24" t="n"/>
      <c r="F45" s="24" t="n"/>
      <c r="G45" s="24" t="n"/>
      <c r="H45" s="24" t="n"/>
      <c r="I45" s="24" t="n"/>
      <c r="J45" s="24" t="n"/>
      <c r="K45" s="24" t="n"/>
      <c r="L45" s="24" t="n"/>
      <c r="M45" s="24" t="n"/>
      <c r="N45" s="24" t="n"/>
      <c r="O45" s="24" t="n"/>
      <c r="P45" s="24" t="n"/>
      <c r="Q45" s="24" t="n"/>
      <c r="R45" s="24" t="n"/>
      <c r="S45" s="24" t="n"/>
      <c r="T45" s="24" t="n"/>
      <c r="U45" s="24" t="n"/>
      <c r="V45" s="24" t="n"/>
    </row>
    <row r="46">
      <c r="A46" s="24" t="n"/>
      <c r="B46" s="24" t="n"/>
      <c r="C46" s="24" t="n"/>
      <c r="D46" s="24" t="n"/>
      <c r="E46" s="24" t="n"/>
      <c r="F46" s="24" t="n"/>
      <c r="G46" s="24" t="n"/>
      <c r="H46" s="24" t="n"/>
      <c r="I46" s="24" t="n"/>
      <c r="J46" s="24" t="n"/>
      <c r="K46" s="24" t="n"/>
      <c r="L46" s="24" t="n"/>
      <c r="M46" s="24" t="n"/>
      <c r="N46" s="24" t="n"/>
      <c r="O46" s="24" t="n"/>
      <c r="P46" s="24" t="n"/>
      <c r="Q46" s="24" t="n"/>
      <c r="R46" s="24" t="n"/>
      <c r="S46" s="24" t="n"/>
      <c r="T46" s="24" t="n"/>
      <c r="U46" s="24" t="n"/>
      <c r="V46" s="24" t="n"/>
    </row>
    <row r="47">
      <c r="A47" s="24" t="n"/>
      <c r="B47" s="24" t="n"/>
      <c r="C47" s="24" t="n"/>
      <c r="D47" s="24" t="n"/>
      <c r="E47" s="24" t="n"/>
      <c r="F47" s="24" t="n"/>
      <c r="G47" s="24" t="n"/>
      <c r="H47" s="24" t="n"/>
      <c r="I47" s="24" t="n"/>
      <c r="J47" s="24" t="n"/>
      <c r="K47" s="24" t="n"/>
      <c r="L47" s="24" t="n"/>
      <c r="M47" s="24" t="n"/>
      <c r="N47" s="24" t="n"/>
      <c r="O47" s="24" t="n"/>
      <c r="P47" s="24" t="n"/>
      <c r="Q47" s="24" t="n"/>
      <c r="R47" s="24" t="n"/>
      <c r="S47" s="24" t="n"/>
      <c r="T47" s="24" t="n"/>
      <c r="U47" s="24" t="n"/>
      <c r="V47" s="24" t="n"/>
    </row>
    <row r="48">
      <c r="A48" s="24" t="n"/>
      <c r="B48" s="24" t="n"/>
      <c r="C48" s="24" t="n"/>
      <c r="D48" s="24" t="n"/>
      <c r="E48" s="24" t="n"/>
      <c r="F48" s="24" t="n"/>
      <c r="G48" s="24" t="n"/>
      <c r="H48" s="24" t="n"/>
      <c r="I48" s="24" t="n"/>
      <c r="J48" s="24" t="n"/>
      <c r="K48" s="24" t="n"/>
      <c r="L48" s="24" t="n"/>
      <c r="M48" s="24" t="n"/>
      <c r="N48" s="24" t="n"/>
      <c r="O48" s="24" t="n"/>
      <c r="P48" s="24" t="n"/>
      <c r="Q48" s="24" t="n"/>
      <c r="R48" s="24" t="n"/>
      <c r="S48" s="24" t="n"/>
      <c r="T48" s="24" t="n"/>
      <c r="U48" s="24" t="n"/>
      <c r="V48" s="24" t="n"/>
    </row>
    <row r="49">
      <c r="A49" s="24" t="n"/>
      <c r="B49" s="24" t="n"/>
      <c r="C49" s="24" t="n"/>
      <c r="D49" s="24" t="n"/>
      <c r="E49" s="24" t="n"/>
      <c r="F49" s="24" t="n"/>
      <c r="G49" s="24" t="n"/>
      <c r="H49" s="24" t="n"/>
      <c r="I49" s="24" t="n"/>
      <c r="J49" s="24" t="n"/>
      <c r="K49" s="24" t="n"/>
      <c r="L49" s="24" t="n"/>
      <c r="M49" s="24" t="n"/>
      <c r="N49" s="24" t="n"/>
      <c r="O49" s="24" t="n"/>
      <c r="P49" s="24" t="n"/>
      <c r="Q49" s="24" t="n"/>
      <c r="R49" s="24" t="n"/>
      <c r="S49" s="24" t="n"/>
      <c r="T49" s="24" t="n"/>
      <c r="U49" s="24" t="n"/>
      <c r="V49" s="24" t="n"/>
    </row>
    <row r="50">
      <c r="A50" s="24" t="n"/>
      <c r="B50" s="24" t="n"/>
      <c r="C50" s="24" t="n"/>
      <c r="D50" s="24" t="n"/>
      <c r="E50" s="24" t="n"/>
      <c r="F50" s="24" t="n"/>
      <c r="G50" s="24" t="n"/>
      <c r="H50" s="24" t="n"/>
      <c r="I50" s="24" t="n"/>
      <c r="J50" s="24" t="n"/>
      <c r="K50" s="24" t="n"/>
      <c r="L50" s="24" t="n"/>
      <c r="M50" s="24" t="n"/>
      <c r="N50" s="24" t="n"/>
      <c r="O50" s="24" t="n"/>
      <c r="P50" s="24" t="n"/>
      <c r="Q50" s="24" t="n"/>
      <c r="R50" s="24" t="n"/>
      <c r="S50" s="24" t="n"/>
      <c r="T50" s="24" t="n"/>
      <c r="U50" s="24" t="n"/>
      <c r="V50" s="24" t="n"/>
    </row>
    <row r="51">
      <c r="A51" s="24" t="n"/>
      <c r="B51" s="24" t="n"/>
      <c r="C51" s="24" t="n"/>
      <c r="D51" s="24" t="n"/>
      <c r="E51" s="24" t="n"/>
      <c r="F51" s="24" t="n"/>
      <c r="G51" s="24" t="n"/>
      <c r="H51" s="24" t="n"/>
      <c r="I51" s="24" t="n"/>
      <c r="J51" s="24" t="n"/>
      <c r="K51" s="24" t="n"/>
      <c r="L51" s="24" t="n"/>
      <c r="M51" s="24" t="n"/>
      <c r="N51" s="24" t="n"/>
      <c r="O51" s="24" t="n"/>
      <c r="P51" s="24" t="n"/>
      <c r="Q51" s="24" t="n"/>
      <c r="R51" s="24" t="n"/>
      <c r="S51" s="24" t="n"/>
      <c r="T51" s="24" t="n"/>
      <c r="U51" s="24" t="n"/>
      <c r="V51" s="24" t="n"/>
    </row>
    <row r="52">
      <c r="A52" s="24" t="n"/>
      <c r="B52" s="24" t="n"/>
      <c r="C52" s="24" t="n"/>
      <c r="D52" s="24" t="n"/>
      <c r="E52" s="24" t="n"/>
      <c r="F52" s="24" t="n"/>
      <c r="G52" s="24" t="n"/>
      <c r="H52" s="24" t="n"/>
      <c r="I52" s="24" t="n"/>
      <c r="J52" s="24" t="n"/>
      <c r="K52" s="24" t="n"/>
      <c r="L52" s="24" t="n"/>
      <c r="M52" s="24" t="n"/>
      <c r="N52" s="24" t="n"/>
      <c r="O52" s="24" t="n"/>
      <c r="P52" s="24" t="n"/>
      <c r="Q52" s="24" t="n"/>
      <c r="R52" s="24" t="n"/>
      <c r="S52" s="24" t="n"/>
      <c r="T52" s="24" t="n"/>
      <c r="U52" s="24" t="n"/>
      <c r="V52" s="24" t="n"/>
    </row>
    <row r="53">
      <c r="A53" s="24" t="n"/>
      <c r="B53" s="24" t="n"/>
      <c r="C53" s="24" t="n"/>
      <c r="D53" s="24" t="n"/>
      <c r="E53" s="24" t="n"/>
      <c r="F53" s="24" t="n"/>
      <c r="G53" s="24" t="n"/>
      <c r="H53" s="24" t="n"/>
      <c r="I53" s="24" t="n"/>
      <c r="J53" s="24" t="n"/>
      <c r="K53" s="24" t="n"/>
      <c r="L53" s="24" t="n"/>
      <c r="M53" s="24" t="n"/>
      <c r="N53" s="24" t="n"/>
      <c r="O53" s="24" t="n"/>
      <c r="P53" s="24" t="n"/>
      <c r="Q53" s="24" t="n"/>
      <c r="R53" s="24" t="n"/>
      <c r="S53" s="24" t="n"/>
      <c r="T53" s="24" t="n"/>
      <c r="U53" s="24" t="n"/>
      <c r="V53" s="24" t="n"/>
    </row>
    <row r="54">
      <c r="A54" s="24" t="n"/>
      <c r="B54" s="24" t="n"/>
      <c r="C54" s="24" t="n"/>
      <c r="D54" s="24" t="n"/>
      <c r="E54" s="24" t="n"/>
      <c r="F54" s="24" t="n"/>
      <c r="G54" s="24" t="n"/>
      <c r="H54" s="24" t="n"/>
      <c r="I54" s="24" t="n"/>
      <c r="J54" s="24" t="n"/>
      <c r="K54" s="24" t="n"/>
      <c r="L54" s="24" t="n"/>
      <c r="M54" s="24" t="n"/>
      <c r="N54" s="24" t="n"/>
      <c r="O54" s="24" t="n"/>
      <c r="P54" s="24" t="n"/>
      <c r="Q54" s="24" t="n"/>
      <c r="R54" s="24" t="n"/>
      <c r="S54" s="24" t="n"/>
      <c r="T54" s="24" t="n"/>
      <c r="U54" s="24" t="n"/>
      <c r="V54" s="24" t="n"/>
    </row>
    <row r="55">
      <c r="A55" s="24" t="n"/>
      <c r="B55" s="24" t="n"/>
      <c r="C55" s="24" t="n"/>
      <c r="D55" s="24" t="n"/>
      <c r="E55" s="24" t="n"/>
      <c r="F55" s="24" t="n"/>
      <c r="G55" s="24" t="n"/>
      <c r="H55" s="24" t="n"/>
      <c r="I55" s="24" t="n"/>
      <c r="J55" s="24" t="n"/>
      <c r="K55" s="24" t="n"/>
      <c r="L55" s="24" t="n"/>
      <c r="M55" s="24" t="n"/>
      <c r="N55" s="24" t="n"/>
      <c r="O55" s="24" t="n"/>
      <c r="P55" s="24" t="n"/>
      <c r="Q55" s="24" t="n"/>
      <c r="R55" s="24" t="n"/>
      <c r="S55" s="24" t="n"/>
      <c r="T55" s="24" t="n"/>
      <c r="U55" s="24" t="n"/>
      <c r="V55" s="24" t="n"/>
    </row>
    <row r="56">
      <c r="A56" s="24" t="n"/>
      <c r="B56" s="24" t="n"/>
      <c r="C56" s="24" t="n"/>
      <c r="D56" s="24" t="n"/>
      <c r="E56" s="24" t="n"/>
      <c r="F56" s="24" t="n"/>
      <c r="G56" s="24" t="n"/>
      <c r="H56" s="24" t="n"/>
      <c r="I56" s="24" t="n"/>
      <c r="J56" s="24" t="n"/>
      <c r="K56" s="24" t="n"/>
      <c r="L56" s="24" t="n"/>
      <c r="M56" s="24" t="n"/>
      <c r="N56" s="24" t="n"/>
      <c r="O56" s="24" t="n"/>
      <c r="P56" s="24" t="n"/>
      <c r="Q56" s="24" t="n"/>
      <c r="R56" s="24" t="n"/>
      <c r="S56" s="24" t="n"/>
      <c r="T56" s="24" t="n"/>
      <c r="U56" s="24" t="n"/>
      <c r="V56" s="24" t="n"/>
    </row>
    <row r="57">
      <c r="A57" s="24" t="n"/>
      <c r="B57" s="24" t="n"/>
      <c r="C57" s="24" t="n"/>
      <c r="D57" s="24" t="n"/>
      <c r="E57" s="24" t="n"/>
      <c r="F57" s="24" t="n"/>
      <c r="G57" s="24" t="n"/>
      <c r="H57" s="24" t="n"/>
      <c r="I57" s="24" t="n"/>
      <c r="J57" s="24" t="n"/>
      <c r="K57" s="24" t="n"/>
      <c r="L57" s="24" t="n"/>
      <c r="M57" s="24" t="n"/>
      <c r="N57" s="24" t="n"/>
      <c r="O57" s="24" t="n"/>
      <c r="P57" s="24" t="n"/>
      <c r="Q57" s="24" t="n"/>
      <c r="R57" s="24" t="n"/>
      <c r="S57" s="24" t="n"/>
      <c r="T57" s="24" t="n"/>
      <c r="U57" s="24" t="n"/>
      <c r="V57" s="24" t="n"/>
    </row>
    <row r="58">
      <c r="A58" s="24" t="n"/>
      <c r="B58" s="24" t="n"/>
      <c r="C58" s="24" t="n"/>
      <c r="D58" s="24" t="n"/>
      <c r="E58" s="24" t="n"/>
      <c r="F58" s="24" t="n"/>
      <c r="G58" s="24" t="n"/>
      <c r="H58" s="24" t="n"/>
      <c r="I58" s="24" t="n"/>
      <c r="J58" s="24" t="n"/>
      <c r="K58" s="24" t="n"/>
      <c r="L58" s="24" t="n"/>
      <c r="M58" s="24" t="n"/>
      <c r="N58" s="24" t="n"/>
      <c r="O58" s="24" t="n"/>
      <c r="P58" s="24" t="n"/>
      <c r="Q58" s="24" t="n"/>
      <c r="R58" s="24" t="n"/>
      <c r="S58" s="24" t="n"/>
      <c r="T58" s="24" t="n"/>
      <c r="U58" s="24" t="n"/>
      <c r="V58" s="24" t="n"/>
    </row>
    <row r="59">
      <c r="A59" s="24" t="n"/>
      <c r="B59" s="24" t="n"/>
      <c r="C59" s="24" t="n"/>
      <c r="D59" s="24" t="n"/>
      <c r="E59" s="24" t="n"/>
      <c r="F59" s="24" t="n"/>
      <c r="G59" s="24" t="n"/>
      <c r="H59" s="24" t="n"/>
      <c r="I59" s="24" t="n"/>
      <c r="J59" s="24" t="n"/>
      <c r="K59" s="24" t="n"/>
      <c r="L59" s="24" t="n"/>
      <c r="M59" s="24" t="n"/>
      <c r="N59" s="24" t="n"/>
      <c r="O59" s="24" t="n"/>
      <c r="P59" s="24" t="n"/>
      <c r="Q59" s="24" t="n"/>
      <c r="R59" s="24" t="n"/>
      <c r="S59" s="24" t="n"/>
      <c r="T59" s="24" t="n"/>
      <c r="U59" s="24" t="n"/>
      <c r="V59" s="24" t="n"/>
    </row>
    <row r="60">
      <c r="A60" s="24" t="n"/>
      <c r="B60" s="24" t="n"/>
      <c r="C60" s="24" t="n"/>
      <c r="D60" s="24" t="n"/>
      <c r="E60" s="24" t="n"/>
      <c r="F60" s="24" t="n"/>
      <c r="G60" s="24" t="n"/>
      <c r="H60" s="24" t="n"/>
      <c r="I60" s="24" t="n"/>
      <c r="J60" s="24" t="n"/>
      <c r="K60" s="24" t="n"/>
      <c r="L60" s="24" t="n"/>
      <c r="M60" s="24" t="n"/>
      <c r="N60" s="24" t="n"/>
      <c r="O60" s="24" t="n"/>
      <c r="P60" s="24" t="n"/>
      <c r="Q60" s="24" t="n"/>
      <c r="R60" s="24" t="n"/>
      <c r="S60" s="24" t="n"/>
      <c r="T60" s="24" t="n"/>
      <c r="U60" s="24" t="n"/>
      <c r="V60" s="24" t="n"/>
    </row>
  </sheetData>
  <mergeCells count="9">
    <mergeCell ref="A21:B21"/>
    <mergeCell ref="A16:B16"/>
    <mergeCell ref="A24:B24"/>
    <mergeCell ref="A45:B45"/>
    <mergeCell ref="A44:B44"/>
    <mergeCell ref="A1:B1"/>
    <mergeCell ref="A40:B40"/>
    <mergeCell ref="A8:B8"/>
    <mergeCell ref="A31:B3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2026-06-17T17:40:58Z</dcterms:created>
  <dcterms:modified xsi:type="dcterms:W3CDTF">2026-06-18T08:24:35Z</dcterms:modified>
  <cp:lastModifiedBy>Shivam Dhanuka</cp:lastModifiedBy>
</cp:coreProperties>
</file>